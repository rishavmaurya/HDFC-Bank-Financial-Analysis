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6"/>
  <workbookPr codeName="ThisWorkbook"/>
  <mc:AlternateContent xmlns:mc="http://schemas.openxmlformats.org/markup-compatibility/2006">
    <mc:Choice Requires="x15">
      <x15ac:absPath xmlns:x15ac="http://schemas.microsoft.com/office/spreadsheetml/2010/11/ac" url="https://d.docs.live.net/15DC5B58ED20E9FB/"/>
    </mc:Choice>
  </mc:AlternateContent>
  <xr:revisionPtr revIDLastSave="0" documentId="8_{5C38DE55-AA55-44D6-A4FD-3E55BFCCDF8F}" xr6:coauthVersionLast="47" xr6:coauthVersionMax="47" xr10:uidLastSave="{00000000-0000-0000-0000-000000000000}"/>
  <bookViews>
    <workbookView xWindow="-110" yWindow="-110" windowWidth="19420" windowHeight="10300" firstSheet="1" activeTab="1" xr2:uid="{00000000-000D-0000-FFFF-FFFF00000000}"/>
  </bookViews>
  <sheets>
    <sheet name="FINANCIALS &gt;" sheetId="8" r:id="rId1"/>
    <sheet name="About" sheetId="11" r:id="rId2"/>
    <sheet name="Historical FS" sheetId="7" r:id="rId3"/>
    <sheet name="Ratio Analysis" sheetId="12" r:id="rId4"/>
    <sheet name="Common Size Statement" sheetId="13" r:id="rId5"/>
    <sheet name="Cash Flow statement" sheetId="10" r:id="rId6"/>
    <sheet name="Sheet1" sheetId="14" r:id="rId7"/>
    <sheet name="DATA&gt;" sheetId="9" r:id="rId8"/>
    <sheet name="Data Sheet" sheetId="6" r:id="rId9"/>
  </sheets>
  <definedNames>
    <definedName name="UPDATE">'Data Sheet'!$E$1</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N29" i="10" l="1"/>
  <c r="J28" i="10"/>
  <c r="K28" i="10"/>
  <c r="L28" i="10"/>
  <c r="M28" i="10"/>
  <c r="N28" i="10"/>
  <c r="L29" i="10"/>
  <c r="M29" i="10"/>
  <c r="K29" i="10"/>
  <c r="N6" i="10"/>
  <c r="N7" i="10"/>
  <c r="N8" i="10"/>
  <c r="N9" i="10"/>
  <c r="N10" i="10"/>
  <c r="N11" i="10"/>
  <c r="N12" i="10"/>
  <c r="N13" i="10"/>
  <c r="N14" i="10"/>
  <c r="N15" i="10"/>
  <c r="N16" i="10"/>
  <c r="N17" i="10"/>
  <c r="N18" i="10"/>
  <c r="N19" i="10"/>
  <c r="N20" i="10"/>
  <c r="N21" i="10"/>
  <c r="N22" i="10"/>
  <c r="N23" i="10"/>
  <c r="N24" i="10"/>
  <c r="N25" i="10"/>
  <c r="N26" i="10"/>
  <c r="N27" i="10"/>
  <c r="N5" i="10"/>
  <c r="C31" i="13"/>
  <c r="D31" i="13"/>
  <c r="E31" i="13"/>
  <c r="F31" i="13"/>
  <c r="G31" i="13"/>
  <c r="H31" i="13"/>
  <c r="I31" i="13"/>
  <c r="J31" i="13"/>
  <c r="C32" i="13"/>
  <c r="D32" i="13"/>
  <c r="E32" i="13"/>
  <c r="F32" i="13"/>
  <c r="G32" i="13"/>
  <c r="H32" i="13"/>
  <c r="I32" i="13"/>
  <c r="J32" i="13"/>
  <c r="C33" i="13"/>
  <c r="D33" i="13"/>
  <c r="E33" i="13"/>
  <c r="F33" i="13"/>
  <c r="G33" i="13"/>
  <c r="H33" i="13"/>
  <c r="I33" i="13"/>
  <c r="J33" i="13"/>
  <c r="C34" i="13"/>
  <c r="D34" i="13"/>
  <c r="E34" i="13"/>
  <c r="F34" i="13"/>
  <c r="G34" i="13"/>
  <c r="H34" i="13"/>
  <c r="I34" i="13"/>
  <c r="J34" i="13"/>
  <c r="C35" i="13"/>
  <c r="D35" i="13"/>
  <c r="E35" i="13"/>
  <c r="F35" i="13"/>
  <c r="G35" i="13"/>
  <c r="H35" i="13"/>
  <c r="I35" i="13"/>
  <c r="J35" i="13"/>
  <c r="C36" i="13"/>
  <c r="D36" i="13"/>
  <c r="E36" i="13"/>
  <c r="F36" i="13"/>
  <c r="G36" i="13"/>
  <c r="H36" i="13"/>
  <c r="I36" i="13"/>
  <c r="J36" i="13"/>
  <c r="D30" i="13"/>
  <c r="E30" i="13"/>
  <c r="F30" i="13"/>
  <c r="G30" i="13"/>
  <c r="H30" i="13"/>
  <c r="I30" i="13"/>
  <c r="J30" i="13"/>
  <c r="C30" i="13"/>
  <c r="D24" i="13"/>
  <c r="E24" i="13"/>
  <c r="F24" i="13"/>
  <c r="G24" i="13"/>
  <c r="H24" i="13"/>
  <c r="I24" i="13"/>
  <c r="J24" i="13"/>
  <c r="D25" i="13"/>
  <c r="E25" i="13"/>
  <c r="F25" i="13"/>
  <c r="G25" i="13"/>
  <c r="H25" i="13"/>
  <c r="I25" i="13"/>
  <c r="J25" i="13"/>
  <c r="D26" i="13"/>
  <c r="E26" i="13"/>
  <c r="F26" i="13"/>
  <c r="G26" i="13"/>
  <c r="H26" i="13"/>
  <c r="I26" i="13"/>
  <c r="J26" i="13"/>
  <c r="D27" i="13"/>
  <c r="E27" i="13"/>
  <c r="F27" i="13"/>
  <c r="G27" i="13"/>
  <c r="H27" i="13"/>
  <c r="I27" i="13"/>
  <c r="J27" i="13"/>
  <c r="C27" i="13"/>
  <c r="C26" i="13"/>
  <c r="C25" i="13"/>
  <c r="C24" i="13"/>
  <c r="J23" i="13"/>
  <c r="D23" i="13"/>
  <c r="E23" i="13"/>
  <c r="F23" i="13"/>
  <c r="G23" i="13"/>
  <c r="H23" i="13"/>
  <c r="I23" i="13"/>
  <c r="C23" i="13"/>
  <c r="B99" i="7" l="1"/>
  <c r="C133" i="7"/>
  <c r="D142" i="7"/>
  <c r="E142" i="7"/>
  <c r="F142" i="7"/>
  <c r="G142" i="7"/>
  <c r="H142" i="7"/>
  <c r="I142" i="7"/>
  <c r="J142" i="7"/>
  <c r="D133" i="7"/>
  <c r="E133" i="7"/>
  <c r="F133" i="7"/>
  <c r="G133" i="7"/>
  <c r="H133" i="7"/>
  <c r="I133" i="7"/>
  <c r="J133" i="7"/>
  <c r="C142" i="7"/>
  <c r="C98" i="7"/>
  <c r="D98" i="7"/>
  <c r="E98" i="7"/>
  <c r="F98" i="7"/>
  <c r="G98" i="7"/>
  <c r="H98" i="7"/>
  <c r="I98" i="7"/>
  <c r="J98" i="7"/>
  <c r="K98" i="7"/>
  <c r="D21" i="7"/>
  <c r="E21" i="7"/>
  <c r="F21" i="7"/>
  <c r="G21" i="7"/>
  <c r="H21" i="7"/>
  <c r="I21" i="7"/>
  <c r="J21" i="7"/>
  <c r="C21" i="7"/>
  <c r="D36" i="7"/>
  <c r="E36" i="7"/>
  <c r="F36" i="7"/>
  <c r="G36" i="7"/>
  <c r="H36" i="7"/>
  <c r="I36" i="7"/>
  <c r="J36" i="7"/>
  <c r="C36" i="7"/>
  <c r="D8" i="13"/>
  <c r="E8" i="13"/>
  <c r="F8" i="13"/>
  <c r="G8" i="13"/>
  <c r="H8" i="13"/>
  <c r="I8" i="13"/>
  <c r="J8" i="13"/>
  <c r="D9" i="13"/>
  <c r="E9" i="13"/>
  <c r="F9" i="13"/>
  <c r="G9" i="13"/>
  <c r="H9" i="13"/>
  <c r="I9" i="13"/>
  <c r="J9" i="13"/>
  <c r="D10" i="13"/>
  <c r="E10" i="13"/>
  <c r="F10" i="13"/>
  <c r="G10" i="13"/>
  <c r="H10" i="13"/>
  <c r="I10" i="13"/>
  <c r="J10" i="13"/>
  <c r="D11" i="13"/>
  <c r="E11" i="13"/>
  <c r="F11" i="13"/>
  <c r="G11" i="13"/>
  <c r="H11" i="13"/>
  <c r="I11" i="13"/>
  <c r="J11" i="13"/>
  <c r="D12" i="13"/>
  <c r="E12" i="13"/>
  <c r="F12" i="13"/>
  <c r="G12" i="13"/>
  <c r="H12" i="13"/>
  <c r="I12" i="13"/>
  <c r="J12" i="13"/>
  <c r="D13" i="13"/>
  <c r="E13" i="13"/>
  <c r="F13" i="13"/>
  <c r="G13" i="13"/>
  <c r="H13" i="13"/>
  <c r="I13" i="13"/>
  <c r="J13" i="13"/>
  <c r="D14" i="13"/>
  <c r="E14" i="13"/>
  <c r="F14" i="13"/>
  <c r="G14" i="13"/>
  <c r="H14" i="13"/>
  <c r="I14" i="13"/>
  <c r="J14" i="13"/>
  <c r="D15" i="13"/>
  <c r="E15" i="13"/>
  <c r="F15" i="13"/>
  <c r="G15" i="13"/>
  <c r="H15" i="13"/>
  <c r="I15" i="13"/>
  <c r="J15" i="13"/>
  <c r="D16" i="13"/>
  <c r="E16" i="13"/>
  <c r="F16" i="13"/>
  <c r="G16" i="13"/>
  <c r="H16" i="13"/>
  <c r="I16" i="13"/>
  <c r="J16" i="13"/>
  <c r="C16" i="13"/>
  <c r="C15" i="13"/>
  <c r="C14" i="13"/>
  <c r="C13" i="13"/>
  <c r="C12" i="13"/>
  <c r="C11" i="13"/>
  <c r="C10" i="13"/>
  <c r="C9" i="13"/>
  <c r="C8" i="13"/>
  <c r="D7" i="13"/>
  <c r="E7" i="13"/>
  <c r="F7" i="13"/>
  <c r="G7" i="13"/>
  <c r="H7" i="13"/>
  <c r="I7" i="13"/>
  <c r="J7" i="13"/>
  <c r="C7" i="13"/>
  <c r="D6" i="13"/>
  <c r="E6" i="13"/>
  <c r="F6" i="13"/>
  <c r="G6" i="13"/>
  <c r="H6" i="13"/>
  <c r="I6" i="13"/>
  <c r="J6" i="13"/>
  <c r="C6" i="13"/>
  <c r="D5" i="13"/>
  <c r="D29" i="13" s="1"/>
  <c r="E5" i="13"/>
  <c r="E29" i="13" s="1"/>
  <c r="F5" i="13"/>
  <c r="F29" i="13" s="1"/>
  <c r="G5" i="13"/>
  <c r="G29" i="13" s="1"/>
  <c r="H5" i="13"/>
  <c r="H29" i="13" s="1"/>
  <c r="I5" i="13"/>
  <c r="I29" i="13" s="1"/>
  <c r="J5" i="13"/>
  <c r="J29" i="13" s="1"/>
  <c r="C5" i="13"/>
  <c r="C29" i="13" s="1"/>
  <c r="B2" i="13"/>
  <c r="B2" i="12"/>
  <c r="C5" i="12"/>
  <c r="C137" i="7" l="1"/>
  <c r="D137" i="7"/>
  <c r="E137" i="7"/>
  <c r="F137" i="7"/>
  <c r="G137" i="7"/>
  <c r="H137" i="7"/>
  <c r="I137" i="7"/>
  <c r="J137" i="7"/>
  <c r="C138" i="7"/>
  <c r="D138" i="7"/>
  <c r="E138" i="7"/>
  <c r="F138" i="7"/>
  <c r="G138" i="7"/>
  <c r="H138" i="7"/>
  <c r="I138" i="7"/>
  <c r="J138" i="7"/>
  <c r="C139" i="7"/>
  <c r="D139" i="7"/>
  <c r="E139" i="7"/>
  <c r="F139" i="7"/>
  <c r="G139" i="7"/>
  <c r="H139" i="7"/>
  <c r="I139" i="7"/>
  <c r="J139" i="7"/>
  <c r="C140" i="7"/>
  <c r="D140" i="7"/>
  <c r="E140" i="7"/>
  <c r="F140" i="7"/>
  <c r="G140" i="7"/>
  <c r="H140" i="7"/>
  <c r="I140" i="7"/>
  <c r="J140" i="7"/>
  <c r="C141" i="7"/>
  <c r="D141" i="7"/>
  <c r="E141" i="7"/>
  <c r="F141" i="7"/>
  <c r="G141" i="7"/>
  <c r="H141" i="7"/>
  <c r="I141" i="7"/>
  <c r="J141" i="7"/>
  <c r="D136" i="7"/>
  <c r="E136" i="7"/>
  <c r="F136" i="7"/>
  <c r="G136" i="7"/>
  <c r="H136" i="7"/>
  <c r="I136" i="7"/>
  <c r="J136" i="7"/>
  <c r="C136" i="7"/>
  <c r="C102" i="7"/>
  <c r="D102" i="7"/>
  <c r="E102" i="7"/>
  <c r="F102" i="7"/>
  <c r="G102" i="7"/>
  <c r="H102" i="7"/>
  <c r="I102" i="7"/>
  <c r="J102" i="7"/>
  <c r="C103" i="7"/>
  <c r="D103" i="7"/>
  <c r="E103" i="7"/>
  <c r="F103" i="7"/>
  <c r="G103" i="7"/>
  <c r="H103" i="7"/>
  <c r="I103" i="7"/>
  <c r="J103" i="7"/>
  <c r="C104" i="7"/>
  <c r="D104" i="7"/>
  <c r="E104" i="7"/>
  <c r="F104" i="7"/>
  <c r="G104" i="7"/>
  <c r="H104" i="7"/>
  <c r="I104" i="7"/>
  <c r="J104" i="7"/>
  <c r="C105" i="7"/>
  <c r="D105" i="7"/>
  <c r="E105" i="7"/>
  <c r="F105" i="7"/>
  <c r="G105" i="7"/>
  <c r="H105" i="7"/>
  <c r="I105" i="7"/>
  <c r="J105" i="7"/>
  <c r="C106" i="7"/>
  <c r="D106" i="7"/>
  <c r="E106" i="7"/>
  <c r="F106" i="7"/>
  <c r="G106" i="7"/>
  <c r="H106" i="7"/>
  <c r="I106" i="7"/>
  <c r="J106" i="7"/>
  <c r="C107" i="7"/>
  <c r="D107" i="7"/>
  <c r="E107" i="7"/>
  <c r="F107" i="7"/>
  <c r="G107" i="7"/>
  <c r="H107" i="7"/>
  <c r="I107" i="7"/>
  <c r="J107" i="7"/>
  <c r="C108" i="7"/>
  <c r="D108" i="7"/>
  <c r="E108" i="7"/>
  <c r="F108" i="7"/>
  <c r="G108" i="7"/>
  <c r="H108" i="7"/>
  <c r="I108" i="7"/>
  <c r="J108" i="7"/>
  <c r="D101" i="7"/>
  <c r="E101" i="7"/>
  <c r="F101" i="7"/>
  <c r="G101" i="7"/>
  <c r="H101" i="7"/>
  <c r="I101" i="7"/>
  <c r="J101" i="7"/>
  <c r="C101" i="7"/>
  <c r="D91" i="7"/>
  <c r="E91" i="7"/>
  <c r="F91" i="7"/>
  <c r="G91" i="7"/>
  <c r="H91" i="7"/>
  <c r="I91" i="7"/>
  <c r="J91" i="7"/>
  <c r="D92" i="7"/>
  <c r="E92" i="7"/>
  <c r="F92" i="7"/>
  <c r="G92" i="7"/>
  <c r="H92" i="7"/>
  <c r="I92" i="7"/>
  <c r="J92" i="7"/>
  <c r="D93" i="7"/>
  <c r="E93" i="7"/>
  <c r="F93" i="7"/>
  <c r="G93" i="7"/>
  <c r="H93" i="7"/>
  <c r="I93" i="7"/>
  <c r="J93" i="7"/>
  <c r="D94" i="7"/>
  <c r="E94" i="7"/>
  <c r="F94" i="7"/>
  <c r="G94" i="7"/>
  <c r="H94" i="7"/>
  <c r="I94" i="7"/>
  <c r="J94" i="7"/>
  <c r="D95" i="7"/>
  <c r="E95" i="7"/>
  <c r="F95" i="7"/>
  <c r="G95" i="7"/>
  <c r="H95" i="7"/>
  <c r="I95" i="7"/>
  <c r="J95" i="7"/>
  <c r="D96" i="7"/>
  <c r="E96" i="7"/>
  <c r="F96" i="7"/>
  <c r="G96" i="7"/>
  <c r="H96" i="7"/>
  <c r="I96" i="7"/>
  <c r="J96" i="7"/>
  <c r="D97" i="7"/>
  <c r="E97" i="7"/>
  <c r="F97" i="7"/>
  <c r="G97" i="7"/>
  <c r="H97" i="7"/>
  <c r="I97" i="7"/>
  <c r="J97" i="7"/>
  <c r="C92" i="7"/>
  <c r="C93" i="7"/>
  <c r="C94" i="7"/>
  <c r="C95" i="7"/>
  <c r="C96" i="7"/>
  <c r="C97" i="7"/>
  <c r="C91" i="7"/>
  <c r="D76" i="7"/>
  <c r="E76" i="7"/>
  <c r="F76" i="7"/>
  <c r="G76" i="7"/>
  <c r="H76" i="7"/>
  <c r="I76" i="7"/>
  <c r="J76" i="7"/>
  <c r="C76" i="7"/>
  <c r="D79" i="7"/>
  <c r="E79" i="7"/>
  <c r="F79" i="7"/>
  <c r="G79" i="7"/>
  <c r="H79" i="7"/>
  <c r="I79" i="7"/>
  <c r="J79" i="7"/>
  <c r="D80" i="7"/>
  <c r="E80" i="7"/>
  <c r="F80" i="7"/>
  <c r="G80" i="7"/>
  <c r="H80" i="7"/>
  <c r="I80" i="7"/>
  <c r="J80" i="7"/>
  <c r="D81" i="7"/>
  <c r="E81" i="7"/>
  <c r="F81" i="7"/>
  <c r="G81" i="7"/>
  <c r="H81" i="7"/>
  <c r="I81" i="7"/>
  <c r="J81" i="7"/>
  <c r="C80" i="7"/>
  <c r="C81" i="7"/>
  <c r="C79" i="7"/>
  <c r="C73" i="7"/>
  <c r="D73" i="7"/>
  <c r="E73" i="7"/>
  <c r="F73" i="7"/>
  <c r="G73" i="7"/>
  <c r="H73" i="7"/>
  <c r="I73" i="7"/>
  <c r="J73" i="7"/>
  <c r="C74" i="7"/>
  <c r="D74" i="7"/>
  <c r="E74" i="7"/>
  <c r="F74" i="7"/>
  <c r="G74" i="7"/>
  <c r="H74" i="7"/>
  <c r="I74" i="7"/>
  <c r="J74" i="7"/>
  <c r="D72" i="7"/>
  <c r="E72" i="7"/>
  <c r="F72" i="7"/>
  <c r="G72" i="7"/>
  <c r="H72" i="7"/>
  <c r="I72" i="7"/>
  <c r="J72" i="7"/>
  <c r="C72" i="7"/>
  <c r="C66" i="7"/>
  <c r="D66" i="7"/>
  <c r="E66" i="7"/>
  <c r="F66" i="7"/>
  <c r="G66" i="7"/>
  <c r="H66" i="7"/>
  <c r="I66" i="7"/>
  <c r="J66" i="7"/>
  <c r="C67" i="7"/>
  <c r="D67" i="7"/>
  <c r="E67" i="7"/>
  <c r="F67" i="7"/>
  <c r="G67" i="7"/>
  <c r="H67" i="7"/>
  <c r="I67" i="7"/>
  <c r="J67" i="7"/>
  <c r="C69" i="7"/>
  <c r="D69" i="7"/>
  <c r="E69" i="7"/>
  <c r="F69" i="7"/>
  <c r="G69" i="7"/>
  <c r="H69" i="7"/>
  <c r="I69" i="7"/>
  <c r="J69" i="7"/>
  <c r="D65" i="7"/>
  <c r="E65" i="7"/>
  <c r="F65" i="7"/>
  <c r="G65" i="7"/>
  <c r="H65" i="7"/>
  <c r="I65" i="7"/>
  <c r="J65" i="7"/>
  <c r="C65" i="7"/>
  <c r="D42" i="7"/>
  <c r="D47" i="7" s="1"/>
  <c r="E42" i="7"/>
  <c r="E47" i="7" s="1"/>
  <c r="F42" i="7"/>
  <c r="F47" i="7" s="1"/>
  <c r="G42" i="7"/>
  <c r="G47" i="7" s="1"/>
  <c r="H42" i="7"/>
  <c r="H47" i="7" s="1"/>
  <c r="I42" i="7"/>
  <c r="I47" i="7" s="1"/>
  <c r="J42" i="7"/>
  <c r="J47" i="7" s="1"/>
  <c r="C42" i="7"/>
  <c r="C47" i="7" s="1"/>
  <c r="I9" i="12" l="1"/>
  <c r="H68" i="7"/>
  <c r="H75" i="7"/>
  <c r="G68" i="7"/>
  <c r="F77" i="7"/>
  <c r="E75" i="7"/>
  <c r="D75" i="7"/>
  <c r="D77" i="7"/>
  <c r="G75" i="7"/>
  <c r="E9" i="12"/>
  <c r="J70" i="7"/>
  <c r="I77" i="7"/>
  <c r="J77" i="7"/>
  <c r="I70" i="7"/>
  <c r="D68" i="7"/>
  <c r="J75" i="7"/>
  <c r="I75" i="7"/>
  <c r="G77" i="7"/>
  <c r="F75" i="7"/>
  <c r="F70" i="7"/>
  <c r="H77" i="7"/>
  <c r="E77" i="7"/>
  <c r="E70" i="7"/>
  <c r="D70" i="7"/>
  <c r="J68" i="7"/>
  <c r="I68" i="7"/>
  <c r="H70" i="7"/>
  <c r="G70" i="7"/>
  <c r="F68" i="7"/>
  <c r="E68" i="7"/>
  <c r="G9" i="12"/>
  <c r="D9" i="12"/>
  <c r="J9" i="12"/>
  <c r="H9" i="12"/>
  <c r="F9" i="12"/>
  <c r="D82" i="7"/>
  <c r="C70" i="7"/>
  <c r="I82" i="7"/>
  <c r="H82" i="7"/>
  <c r="F82" i="7"/>
  <c r="C77" i="7"/>
  <c r="C82" i="7"/>
  <c r="J82" i="7"/>
  <c r="G82" i="7"/>
  <c r="E82" i="7"/>
  <c r="D30" i="7"/>
  <c r="E30" i="7"/>
  <c r="F30" i="7"/>
  <c r="G30" i="7"/>
  <c r="H30" i="7"/>
  <c r="I30" i="7"/>
  <c r="J30" i="7"/>
  <c r="C30" i="7"/>
  <c r="D27" i="7"/>
  <c r="E27" i="7"/>
  <c r="F27" i="7"/>
  <c r="G27" i="7"/>
  <c r="H27" i="7"/>
  <c r="I27" i="7"/>
  <c r="J27" i="7"/>
  <c r="C27" i="7"/>
  <c r="D18" i="7"/>
  <c r="E18" i="7"/>
  <c r="F18" i="7"/>
  <c r="G18" i="7"/>
  <c r="H18" i="7"/>
  <c r="I18" i="7"/>
  <c r="J18" i="7"/>
  <c r="C18" i="7"/>
  <c r="D12" i="7"/>
  <c r="E12" i="7"/>
  <c r="F12" i="7"/>
  <c r="G12" i="7"/>
  <c r="H12" i="7"/>
  <c r="I12" i="7"/>
  <c r="J12" i="7"/>
  <c r="C12" i="7"/>
  <c r="D9" i="7"/>
  <c r="D22" i="7" s="1"/>
  <c r="E9" i="7"/>
  <c r="E22" i="7" s="1"/>
  <c r="F9" i="7"/>
  <c r="F22" i="7" s="1"/>
  <c r="G9" i="7"/>
  <c r="G22" i="7" s="1"/>
  <c r="H9" i="7"/>
  <c r="H22" i="7" s="1"/>
  <c r="I9" i="7"/>
  <c r="I22" i="7" s="1"/>
  <c r="J9" i="7"/>
  <c r="J22" i="7" s="1"/>
  <c r="C9" i="7"/>
  <c r="C22" i="7" s="1"/>
  <c r="B6" i="7"/>
  <c r="D7" i="7"/>
  <c r="D3" i="12" s="1"/>
  <c r="E7" i="7"/>
  <c r="E3" i="12" s="1"/>
  <c r="F7" i="7"/>
  <c r="F3" i="12" s="1"/>
  <c r="G7" i="7"/>
  <c r="G3" i="12" s="1"/>
  <c r="H7" i="7"/>
  <c r="H3" i="12" s="1"/>
  <c r="I7" i="7"/>
  <c r="I3" i="12" s="1"/>
  <c r="J7" i="7"/>
  <c r="J3" i="12" s="1"/>
  <c r="C7" i="7"/>
  <c r="C3" i="12" s="1"/>
  <c r="J84" i="7" l="1"/>
  <c r="J86" i="7" s="1"/>
  <c r="E144" i="7"/>
  <c r="L9" i="12"/>
  <c r="M9" i="12"/>
  <c r="D10" i="7"/>
  <c r="D5" i="12" s="1"/>
  <c r="C144" i="7"/>
  <c r="D84" i="7"/>
  <c r="D86" i="7" s="1"/>
  <c r="F84" i="7"/>
  <c r="F86" i="7" s="1"/>
  <c r="D13" i="7"/>
  <c r="H84" i="7"/>
  <c r="H86" i="7" s="1"/>
  <c r="G144" i="7"/>
  <c r="J144" i="7"/>
  <c r="D144" i="7"/>
  <c r="F144" i="7"/>
  <c r="H144" i="7"/>
  <c r="I84" i="7"/>
  <c r="I86" i="7" s="1"/>
  <c r="I144" i="7"/>
  <c r="C28" i="7"/>
  <c r="C13" i="7"/>
  <c r="E84" i="7"/>
  <c r="E86" i="7" s="1"/>
  <c r="H28" i="7"/>
  <c r="G84" i="7"/>
  <c r="G86" i="7" s="1"/>
  <c r="C84" i="7"/>
  <c r="C86" i="7" s="1"/>
  <c r="J28" i="7"/>
  <c r="C31" i="7"/>
  <c r="D31" i="7"/>
  <c r="G13" i="7"/>
  <c r="I19" i="7"/>
  <c r="I28" i="7"/>
  <c r="J31" i="7"/>
  <c r="F28" i="7"/>
  <c r="H19" i="7"/>
  <c r="I31" i="7"/>
  <c r="E10" i="7"/>
  <c r="E5" i="12" s="1"/>
  <c r="E13" i="7"/>
  <c r="H31" i="7"/>
  <c r="J10" i="7"/>
  <c r="J5" i="12" s="1"/>
  <c r="I10" i="7"/>
  <c r="I5" i="12" s="1"/>
  <c r="F13" i="7"/>
  <c r="G15" i="7"/>
  <c r="G24" i="7" s="1"/>
  <c r="G19" i="7"/>
  <c r="D19" i="7"/>
  <c r="D28" i="7"/>
  <c r="G31" i="7"/>
  <c r="G28" i="7"/>
  <c r="E19" i="7"/>
  <c r="I13" i="7"/>
  <c r="C19" i="7"/>
  <c r="F31" i="7"/>
  <c r="F19" i="7"/>
  <c r="E28" i="7"/>
  <c r="J13" i="7"/>
  <c r="H10" i="7"/>
  <c r="H5" i="12" s="1"/>
  <c r="H13" i="7"/>
  <c r="J19" i="7"/>
  <c r="E31" i="7"/>
  <c r="F10" i="7"/>
  <c r="F5" i="12" s="1"/>
  <c r="E15" i="7"/>
  <c r="E24" i="7" s="1"/>
  <c r="C15" i="7"/>
  <c r="C24" i="7" s="1"/>
  <c r="F15" i="7"/>
  <c r="F24" i="7" s="1"/>
  <c r="J15" i="7"/>
  <c r="J24" i="7" s="1"/>
  <c r="D15" i="7"/>
  <c r="D24" i="7" s="1"/>
  <c r="I15" i="7"/>
  <c r="I24" i="7" s="1"/>
  <c r="H15" i="7"/>
  <c r="H24" i="7" s="1"/>
  <c r="G10" i="7"/>
  <c r="G5" i="12" s="1"/>
  <c r="B6" i="6"/>
  <c r="E1" i="6"/>
  <c r="L5" i="12" l="1"/>
  <c r="M5" i="12"/>
  <c r="C16" i="7"/>
  <c r="D11" i="12" s="1"/>
  <c r="F16" i="7"/>
  <c r="G11" i="12" s="1"/>
  <c r="H16" i="7"/>
  <c r="I11" i="12" s="1"/>
  <c r="J16" i="7"/>
  <c r="I16" i="7"/>
  <c r="J11" i="12" s="1"/>
  <c r="G16" i="7"/>
  <c r="H11" i="12" s="1"/>
  <c r="E16" i="7"/>
  <c r="F11" i="12" s="1"/>
  <c r="D16" i="7"/>
  <c r="E11" i="12" s="1"/>
  <c r="H20" i="12" l="1"/>
  <c r="G6" i="12"/>
  <c r="H17" i="12"/>
  <c r="H13" i="12"/>
  <c r="G7" i="12"/>
  <c r="L11" i="12"/>
  <c r="M11" i="12"/>
  <c r="I20" i="12"/>
  <c r="I17" i="12"/>
  <c r="H7" i="12"/>
  <c r="H6" i="12"/>
  <c r="I13" i="12"/>
  <c r="C33" i="7"/>
  <c r="C39" i="7" s="1"/>
  <c r="D19" i="12" s="1"/>
  <c r="D20" i="12"/>
  <c r="D13" i="12"/>
  <c r="D17" i="12"/>
  <c r="F17" i="12"/>
  <c r="F13" i="12"/>
  <c r="E7" i="12"/>
  <c r="F20" i="12"/>
  <c r="E6" i="12"/>
  <c r="G13" i="12"/>
  <c r="F7" i="12"/>
  <c r="G20" i="12"/>
  <c r="F6" i="12"/>
  <c r="G17" i="12"/>
  <c r="J13" i="12"/>
  <c r="I7" i="12"/>
  <c r="J20" i="12"/>
  <c r="J17" i="12"/>
  <c r="I6" i="12"/>
  <c r="D7" i="12"/>
  <c r="E13" i="12"/>
  <c r="D6" i="12"/>
  <c r="E20" i="12"/>
  <c r="E17" i="12"/>
  <c r="J7" i="12"/>
  <c r="J6" i="12"/>
  <c r="H25" i="7"/>
  <c r="I12" i="12" s="1"/>
  <c r="H33" i="7"/>
  <c r="F25" i="7"/>
  <c r="G12" i="12" s="1"/>
  <c r="F33" i="7"/>
  <c r="C25" i="7"/>
  <c r="D12" i="12" s="1"/>
  <c r="E25" i="7"/>
  <c r="F12" i="12" s="1"/>
  <c r="E33" i="7"/>
  <c r="G25" i="7"/>
  <c r="H12" i="12" s="1"/>
  <c r="G33" i="7"/>
  <c r="I25" i="7"/>
  <c r="J12" i="12" s="1"/>
  <c r="I33" i="7"/>
  <c r="D25" i="7"/>
  <c r="E12" i="12" s="1"/>
  <c r="D33" i="7"/>
  <c r="J25" i="7"/>
  <c r="J33" i="7"/>
  <c r="M12" i="12" l="1"/>
  <c r="L7" i="12"/>
  <c r="M7" i="12"/>
  <c r="L17" i="12"/>
  <c r="M17" i="12"/>
  <c r="L13" i="12"/>
  <c r="M13" i="12"/>
  <c r="L20" i="12"/>
  <c r="M20" i="12"/>
  <c r="L12" i="12"/>
  <c r="L6" i="12"/>
  <c r="M6" i="12"/>
  <c r="E39" i="7"/>
  <c r="E37" i="7"/>
  <c r="E34" i="7"/>
  <c r="F14" i="12" s="1"/>
  <c r="D39" i="7"/>
  <c r="D34" i="7"/>
  <c r="E14" i="12" s="1"/>
  <c r="D37" i="7"/>
  <c r="C34" i="7"/>
  <c r="D14" i="12" s="1"/>
  <c r="C37" i="7"/>
  <c r="I37" i="7"/>
  <c r="I34" i="7"/>
  <c r="J14" i="12" s="1"/>
  <c r="I39" i="7"/>
  <c r="J39" i="7"/>
  <c r="J34" i="7"/>
  <c r="J37" i="7"/>
  <c r="F39" i="7"/>
  <c r="F34" i="7"/>
  <c r="G14" i="12" s="1"/>
  <c r="F37" i="7"/>
  <c r="G34" i="7"/>
  <c r="H14" i="12" s="1"/>
  <c r="G39" i="7"/>
  <c r="G37" i="7"/>
  <c r="H34" i="7"/>
  <c r="I14" i="12" s="1"/>
  <c r="H39" i="7"/>
  <c r="H37" i="7"/>
  <c r="J8" i="12" l="1"/>
  <c r="L14" i="12"/>
  <c r="M14" i="12"/>
  <c r="G19" i="12"/>
  <c r="F8" i="12"/>
  <c r="I19" i="12"/>
  <c r="H8" i="12"/>
  <c r="E19" i="12"/>
  <c r="D8" i="12"/>
  <c r="H19" i="12"/>
  <c r="G8" i="12"/>
  <c r="J19" i="12"/>
  <c r="I8" i="12"/>
  <c r="F19" i="12"/>
  <c r="E8" i="12"/>
  <c r="E44" i="7"/>
  <c r="E40" i="7"/>
  <c r="F15" i="12" s="1"/>
  <c r="C40" i="7"/>
  <c r="D15" i="12" s="1"/>
  <c r="C44" i="7"/>
  <c r="H44" i="7"/>
  <c r="H40" i="7"/>
  <c r="I15" i="12" s="1"/>
  <c r="J40" i="7"/>
  <c r="J44" i="7"/>
  <c r="G40" i="7"/>
  <c r="H15" i="12" s="1"/>
  <c r="G44" i="7"/>
  <c r="I44" i="7"/>
  <c r="I40" i="7"/>
  <c r="J15" i="12" s="1"/>
  <c r="D44" i="7"/>
  <c r="D40" i="7"/>
  <c r="E15" i="12" s="1"/>
  <c r="F44" i="7"/>
  <c r="F40" i="7"/>
  <c r="G15" i="12" s="1"/>
  <c r="L8" i="12" l="1"/>
  <c r="M8" i="12"/>
  <c r="M19" i="12"/>
  <c r="L19" i="12"/>
  <c r="M15" i="12"/>
  <c r="L15" i="12"/>
  <c r="J45" i="7"/>
  <c r="J48" i="7"/>
  <c r="J50" i="7" s="1"/>
  <c r="F45" i="7"/>
  <c r="F48" i="7"/>
  <c r="F50" i="7" s="1"/>
  <c r="G18" i="12" s="1"/>
  <c r="D45" i="7"/>
  <c r="D48" i="7"/>
  <c r="D50" i="7" s="1"/>
  <c r="E18" i="12" s="1"/>
  <c r="H45" i="7"/>
  <c r="H48" i="7"/>
  <c r="H50" i="7" s="1"/>
  <c r="I18" i="12" s="1"/>
  <c r="C48" i="7"/>
  <c r="C50" i="7" s="1"/>
  <c r="D18" i="12" s="1"/>
  <c r="E45" i="7"/>
  <c r="E48" i="7"/>
  <c r="E50" i="7" s="1"/>
  <c r="F18" i="12" s="1"/>
  <c r="I45" i="7"/>
  <c r="I48" i="7"/>
  <c r="I50" i="7" s="1"/>
  <c r="J18" i="12" s="1"/>
  <c r="G45" i="7"/>
  <c r="G48" i="7"/>
  <c r="G50" i="7" s="1"/>
  <c r="H18" i="12" s="1"/>
  <c r="M18" i="12" l="1"/>
  <c r="L18" i="12"/>
</calcChain>
</file>

<file path=xl/sharedStrings.xml><?xml version="1.0" encoding="utf-8"?>
<sst xmlns="http://schemas.openxmlformats.org/spreadsheetml/2006/main" count="293" uniqueCount="203">
  <si>
    <t xml:space="preserve"> </t>
  </si>
  <si>
    <t xml:space="preserve">About The Company </t>
  </si>
  <si>
    <t>HDFC Bank Limited (also known as HDFC) is an Indian banking and financial services company headquartered in Mumbai. It is India's largest private sector bank by assets and the world's tenth-largest bank by market capitalization as of May 2024.</t>
  </si>
  <si>
    <t>Key Points</t>
  </si>
  <si>
    <t>Market Position</t>
  </si>
  <si>
    <t>The company is India's one of 3 systemically important banks with a 15% market share in the banking sector’s advances and a 37% market share in the private sector banks’ advances as of FY24. It is also the second-largest bank in India. It is among the top 3 Government Banks collecting direct and indirect taxes for the Government of India. It is a market leader in almost every asset category.</t>
  </si>
  <si>
    <t>Key Ratios Q3 FY26</t>
  </si>
  <si>
    <t>HDFC</t>
  </si>
  <si>
    <t>Industry Avg</t>
  </si>
  <si>
    <t xml:space="preserve">Capital Adequacy Ratio: </t>
  </si>
  <si>
    <t xml:space="preserve">NIM: </t>
  </si>
  <si>
    <t xml:space="preserve">Gross NPA: </t>
  </si>
  <si>
    <t xml:space="preserve">Net NPA: </t>
  </si>
  <si>
    <t>Cost to Income ratio:</t>
  </si>
  <si>
    <t xml:space="preserve">ROA: </t>
  </si>
  <si>
    <t>Amalgamation</t>
  </si>
  <si>
    <t>In July 2023, HDFC bank completed its amalgamation with its promoter, HDFC Ltd. With this merger, the bank now operates across various segments, including banking, insurance (through HDFC Life Insurance and HDFC Ergo General Insurance), and asset management (via HDFC Asset Management).</t>
  </si>
  <si>
    <t>Focus</t>
  </si>
  <si>
    <t>The bank focuses on growing its CASA mix by bringing new customers. It maintains the objectives of profitable growth.</t>
  </si>
  <si>
    <t>Financial Snapshot</t>
  </si>
  <si>
    <t>Market Cap</t>
  </si>
  <si>
    <t>₹ 11,11,989 Cr.</t>
  </si>
  <si>
    <t>ROE</t>
  </si>
  <si>
    <t>Current Price</t>
  </si>
  <si>
    <t>₹ 721</t>
  </si>
  <si>
    <t>Face Value</t>
  </si>
  <si>
    <t>₹ 1.00</t>
  </si>
  <si>
    <t>High / Low</t>
  </si>
  <si>
    <t>₹ 1,020 / 698</t>
  </si>
  <si>
    <t>Profit growth</t>
  </si>
  <si>
    <t>Stock P/E</t>
  </si>
  <si>
    <t>No. of Share Holders</t>
  </si>
  <si>
    <t>45,32,753</t>
  </si>
  <si>
    <t>Book Value</t>
  </si>
  <si>
    <t>₹ 390</t>
  </si>
  <si>
    <t>No. Eq. Shares</t>
  </si>
  <si>
    <t>Dividend Yield</t>
  </si>
  <si>
    <t>EBITDA</t>
  </si>
  <si>
    <t>₹ 2,93,893 Cr.</t>
  </si>
  <si>
    <t>ROCE</t>
  </si>
  <si>
    <t>Asset quality remained resilient: Despite the significant expansion in HDFC Bank’s loan book following the HDFC Ltd merger, asset quality remained resilient, with Gross NPA and Net NPA remaining controlled. Maintaining asset quality while expanding the post-merger balance sheet will remain important for sustaining profitability.</t>
  </si>
  <si>
    <t>Capital position remained strong: HDFC Bank maintained a strong capital position, providing sufficient capacity to absorb the HDFC Ltd merger and continue supporting credit growth without major capital constraints.</t>
  </si>
  <si>
    <t>Years</t>
  </si>
  <si>
    <t>#</t>
  </si>
  <si>
    <t xml:space="preserve">Income Statement </t>
  </si>
  <si>
    <t xml:space="preserve">Sales </t>
  </si>
  <si>
    <t>Sales Growth</t>
  </si>
  <si>
    <t>-</t>
  </si>
  <si>
    <t xml:space="preserve">COGS </t>
  </si>
  <si>
    <t xml:space="preserve">COGS as %of sales </t>
  </si>
  <si>
    <t xml:space="preserve">Gross Profit </t>
  </si>
  <si>
    <t xml:space="preserve">Gross profit as %of sales </t>
  </si>
  <si>
    <t>Selling and General Expenses</t>
  </si>
  <si>
    <t xml:space="preserve">S&amp;G Exp as % of sales </t>
  </si>
  <si>
    <t xml:space="preserve">Other Income </t>
  </si>
  <si>
    <t>Other Income as % of sales</t>
  </si>
  <si>
    <t>EBITA as %of sales</t>
  </si>
  <si>
    <t xml:space="preserve">Interest </t>
  </si>
  <si>
    <t xml:space="preserve">Interest as %of sales </t>
  </si>
  <si>
    <t xml:space="preserve">Depreciation </t>
  </si>
  <si>
    <t xml:space="preserve">Depreciation as %of sales </t>
  </si>
  <si>
    <t xml:space="preserve">Earnings Before Tax </t>
  </si>
  <si>
    <t>EBT as %of sales</t>
  </si>
  <si>
    <t>Tax</t>
  </si>
  <si>
    <t xml:space="preserve">Effective Tax Rate </t>
  </si>
  <si>
    <t xml:space="preserve">Net Profit </t>
  </si>
  <si>
    <t xml:space="preserve">Net Margins </t>
  </si>
  <si>
    <t xml:space="preserve">No. Of equity shares </t>
  </si>
  <si>
    <t xml:space="preserve">Earning per share </t>
  </si>
  <si>
    <t>EPS Growth%</t>
  </si>
  <si>
    <t xml:space="preserve">Dividend Per share </t>
  </si>
  <si>
    <t>In the FY 25-26  review HDFC Bank issued its first ever bonus equity shares in the proportion of 1:1. Total dividend per equity share for the Financial Year 2025-26 is H15.50 including special interim dividend of H2.50 per equity share (adj. for bonus)</t>
  </si>
  <si>
    <t>Dividend payout ratio</t>
  </si>
  <si>
    <t xml:space="preserve">Retained Earnings </t>
  </si>
  <si>
    <r>
      <t>Strong long-term growth:</t>
    </r>
    <r>
      <rPr>
        <sz val="11"/>
        <color theme="1"/>
        <rFont val="Calibri"/>
        <family val="2"/>
        <scheme val="minor"/>
      </rPr>
      <t xml:space="preserve"> Net profit increased from </t>
    </r>
    <r>
      <rPr>
        <b/>
        <sz val="11"/>
        <color theme="1"/>
        <rFont val="Calibri"/>
        <family val="2"/>
        <scheme val="minor"/>
      </rPr>
      <t>₹22,446 Cr in FY19 to ₹79,220 Cr in FY26</t>
    </r>
    <r>
      <rPr>
        <sz val="11"/>
        <color theme="1"/>
        <rFont val="Calibri"/>
        <family val="2"/>
        <scheme val="minor"/>
      </rPr>
      <t>, indicating strong earnings growth over the period.</t>
    </r>
  </si>
  <si>
    <r>
      <t>FY24 was a major inflection point:</t>
    </r>
    <r>
      <rPr>
        <sz val="11"/>
        <color theme="1"/>
        <rFont val="Calibri"/>
        <family val="2"/>
        <scheme val="minor"/>
      </rPr>
      <t xml:space="preserve"> Revenue increased by </t>
    </r>
    <r>
      <rPr>
        <b/>
        <sz val="11"/>
        <color theme="1"/>
        <rFont val="Calibri"/>
        <family val="2"/>
        <scheme val="minor"/>
      </rPr>
      <t>66.1%</t>
    </r>
    <r>
      <rPr>
        <sz val="11"/>
        <color theme="1"/>
        <rFont val="Calibri"/>
        <family val="2"/>
        <scheme val="minor"/>
      </rPr>
      <t xml:space="preserve">, primarily due to the </t>
    </r>
    <r>
      <rPr>
        <b/>
        <sz val="11"/>
        <color theme="1"/>
        <rFont val="Calibri"/>
        <family val="2"/>
        <scheme val="minor"/>
      </rPr>
      <t>HDFC Ltd–HDFC Bank merger</t>
    </r>
    <r>
      <rPr>
        <sz val="11"/>
        <color theme="1"/>
        <rFont val="Calibri"/>
        <family val="2"/>
        <scheme val="minor"/>
      </rPr>
      <t>, which significantly increased the scale of operations.</t>
    </r>
  </si>
  <si>
    <r>
      <t>Post-merger normalization:</t>
    </r>
    <r>
      <rPr>
        <sz val="11"/>
        <color theme="1"/>
        <rFont val="Calibri"/>
        <family val="2"/>
        <scheme val="minor"/>
      </rPr>
      <t xml:space="preserve"> Revenue growth moderated from </t>
    </r>
    <r>
      <rPr>
        <b/>
        <sz val="11"/>
        <color theme="1"/>
        <rFont val="Calibri"/>
        <family val="2"/>
        <scheme val="minor"/>
      </rPr>
      <t>18.6% in FY25 to 3.6% in FY26</t>
    </r>
    <r>
      <rPr>
        <sz val="11"/>
        <color theme="1"/>
        <rFont val="Calibri"/>
        <family val="2"/>
        <scheme val="minor"/>
      </rPr>
      <t>, indicating normalization after the merger-led jump in FY24.</t>
    </r>
  </si>
  <si>
    <r>
      <t>Profitability remains strong:</t>
    </r>
    <r>
      <rPr>
        <sz val="11"/>
        <color theme="1"/>
        <rFont val="Calibri"/>
        <family val="2"/>
        <scheme val="minor"/>
      </rPr>
      <t xml:space="preserve"> Despite margin compression after the merger, net profit continued to rise, with </t>
    </r>
    <r>
      <rPr>
        <b/>
        <sz val="11"/>
        <color theme="1"/>
        <rFont val="Calibri"/>
        <family val="2"/>
        <scheme val="minor"/>
      </rPr>
      <t>FY26 net margin improving to 22.7% from 21.8% in FY25</t>
    </r>
    <r>
      <rPr>
        <sz val="11"/>
        <color theme="1"/>
        <rFont val="Calibri"/>
        <family val="2"/>
        <scheme val="minor"/>
      </rPr>
      <t>.</t>
    </r>
  </si>
  <si>
    <r>
      <t>Higher interest cost is a key pressure:</t>
    </r>
    <r>
      <rPr>
        <sz val="11"/>
        <color theme="1"/>
        <rFont val="Calibri"/>
        <family val="2"/>
        <scheme val="minor"/>
      </rPr>
      <t xml:space="preserve"> Interest expense increased significantly post-merger, reflecting the larger funding base and continued cost of mobilizing deposits.</t>
    </r>
  </si>
  <si>
    <r>
      <t>Operating expenses increased sharply:</t>
    </r>
    <r>
      <rPr>
        <sz val="11"/>
        <color theme="1"/>
        <rFont val="Calibri"/>
        <family val="2"/>
        <scheme val="minor"/>
      </rPr>
      <t xml:space="preserve"> Higher expenses in FY24 reflect the larger combined business, branch expansion, employee costs and integration-related requirements.</t>
    </r>
  </si>
  <si>
    <r>
      <t>Merger synergies:</t>
    </r>
    <r>
      <rPr>
        <sz val="11"/>
        <color theme="1"/>
        <rFont val="Calibri"/>
        <family val="2"/>
        <scheme val="minor"/>
      </rPr>
      <t xml:space="preserve"> The combination provides opportunities for </t>
    </r>
    <r>
      <rPr>
        <b/>
        <sz val="11"/>
        <color theme="1"/>
        <rFont val="Calibri"/>
        <family val="2"/>
        <scheme val="minor"/>
      </rPr>
      <t>mortgage + banking cross-selling, higher deposit penetration, wider distribution and faster home-loan processing</t>
    </r>
    <r>
      <rPr>
        <sz val="11"/>
        <color theme="1"/>
        <rFont val="Calibri"/>
        <family val="2"/>
        <scheme val="minor"/>
      </rPr>
      <t>.</t>
    </r>
  </si>
  <si>
    <r>
      <t>EPS decline needs context:</t>
    </r>
    <r>
      <rPr>
        <sz val="11"/>
        <color theme="1"/>
        <rFont val="Calibri"/>
        <family val="2"/>
        <scheme val="minor"/>
      </rPr>
      <t xml:space="preserve"> FY26 EPS fell despite higher net profit, mainly because the </t>
    </r>
    <r>
      <rPr>
        <b/>
        <sz val="11"/>
        <color theme="1"/>
        <rFont val="Calibri"/>
        <family val="2"/>
        <scheme val="minor"/>
      </rPr>
      <t>number of shares increased substantially</t>
    </r>
    <r>
      <rPr>
        <sz val="11"/>
        <color theme="1"/>
        <rFont val="Calibri"/>
        <family val="2"/>
        <scheme val="minor"/>
      </rPr>
      <t>, so the EPS decline does not by itself indicate weaker underlying profitability.</t>
    </r>
  </si>
  <si>
    <t>Balance Sheet</t>
  </si>
  <si>
    <t>Equity Share Capital</t>
  </si>
  <si>
    <t>Reserves</t>
  </si>
  <si>
    <t>Borrowings</t>
  </si>
  <si>
    <t>Other Liabilities</t>
  </si>
  <si>
    <t xml:space="preserve">Total Liabilities </t>
  </si>
  <si>
    <t>Fixed Assests Net Block</t>
  </si>
  <si>
    <t>Capital Work in Progress</t>
  </si>
  <si>
    <t>Investments</t>
  </si>
  <si>
    <t>Other Assets</t>
  </si>
  <si>
    <t xml:space="preserve">Total Non Current Assets </t>
  </si>
  <si>
    <t>Receivables</t>
  </si>
  <si>
    <t>Inventory</t>
  </si>
  <si>
    <t>Cash &amp; Bank</t>
  </si>
  <si>
    <t xml:space="preserve">Total Current Assets </t>
  </si>
  <si>
    <t xml:space="preserve">Total Assets </t>
  </si>
  <si>
    <t>Check</t>
  </si>
  <si>
    <t xml:space="preserve">Cash Flow Statement </t>
  </si>
  <si>
    <t xml:space="preserve">Operating Activities </t>
  </si>
  <si>
    <t>Profit from operations</t>
  </si>
  <si>
    <t>Payables</t>
  </si>
  <si>
    <t>Other WC items</t>
  </si>
  <si>
    <t>Working capital changes</t>
  </si>
  <si>
    <t>Direct taxes</t>
  </si>
  <si>
    <t xml:space="preserve">Cash from Operating Activities </t>
  </si>
  <si>
    <t xml:space="preserve">Investing Activities </t>
  </si>
  <si>
    <t>Fixed assets purchased</t>
  </si>
  <si>
    <t>Fixed assets sold</t>
  </si>
  <si>
    <t>Investments purchased</t>
  </si>
  <si>
    <t>Investments sold</t>
  </si>
  <si>
    <t>Interest received</t>
  </si>
  <si>
    <t>Redemp n Canc of Shares</t>
  </si>
  <si>
    <t>Acquisition of companies</t>
  </si>
  <si>
    <t>Other investing items</t>
  </si>
  <si>
    <t xml:space="preserve">Cash from Investing Activities </t>
  </si>
  <si>
    <t xml:space="preserve">Financing Activities </t>
  </si>
  <si>
    <t>Proceeds from shares</t>
  </si>
  <si>
    <t>Proceeds from borrowings</t>
  </si>
  <si>
    <t>Repayment of borrowings</t>
  </si>
  <si>
    <t>Interest paid fin</t>
  </si>
  <si>
    <t>Financial liabilities</t>
  </si>
  <si>
    <t>Other financing items</t>
  </si>
  <si>
    <t xml:space="preserve">Cash from Financing Activities </t>
  </si>
  <si>
    <t xml:space="preserve">Net Cash Flow </t>
  </si>
  <si>
    <t xml:space="preserve">Trend </t>
  </si>
  <si>
    <t xml:space="preserve">Mean </t>
  </si>
  <si>
    <t>Median</t>
  </si>
  <si>
    <t>EBITDA Growth</t>
  </si>
  <si>
    <t>EBIT Growth</t>
  </si>
  <si>
    <t>Net Profit Growth</t>
  </si>
  <si>
    <t>Dividend Growth</t>
  </si>
  <si>
    <t>Gross Margin</t>
  </si>
  <si>
    <t>EBITDA Margin</t>
  </si>
  <si>
    <t>EBIT Margin</t>
  </si>
  <si>
    <t>EBT Margin</t>
  </si>
  <si>
    <t>Net Profit Margin</t>
  </si>
  <si>
    <t>Return on Capital Employed</t>
  </si>
  <si>
    <t>Retained Earnings%</t>
  </si>
  <si>
    <t>Return on Equity%</t>
  </si>
  <si>
    <t>Interest Coverage Ratio</t>
  </si>
  <si>
    <t>Particulars</t>
  </si>
  <si>
    <t>Sales</t>
  </si>
  <si>
    <t>Direct Exp</t>
  </si>
  <si>
    <t>Employee Cost</t>
  </si>
  <si>
    <t>Selling and admin</t>
  </si>
  <si>
    <t>Other Expenses</t>
  </si>
  <si>
    <t>Other Income</t>
  </si>
  <si>
    <t>Depreciation</t>
  </si>
  <si>
    <t>Interest</t>
  </si>
  <si>
    <t>Profit before tax</t>
  </si>
  <si>
    <t>Net profit</t>
  </si>
  <si>
    <t>Dividend Amount</t>
  </si>
  <si>
    <t>Total Liabilities</t>
  </si>
  <si>
    <t>Total Assets</t>
  </si>
  <si>
    <t>CASH FLOW STATEMENT</t>
  </si>
  <si>
    <r>
      <t>Cash from Operating Activity </t>
    </r>
    <r>
      <rPr>
        <sz val="11"/>
        <color rgb="FF665EFD"/>
        <rFont val="Arial"/>
        <family val="2"/>
      </rPr>
      <t>-</t>
    </r>
  </si>
  <si>
    <t>Loans Advances</t>
  </si>
  <si>
    <t>Operating investments</t>
  </si>
  <si>
    <t>Operating Deposits</t>
  </si>
  <si>
    <r>
      <t>Cash from Investing Activity </t>
    </r>
    <r>
      <rPr>
        <sz val="11"/>
        <color rgb="FF665EFD"/>
        <rFont val="Arial"/>
        <family val="2"/>
      </rPr>
      <t>-</t>
    </r>
  </si>
  <si>
    <t>Invest in subsidiaries</t>
  </si>
  <si>
    <r>
      <t>Cash from Financing Activity </t>
    </r>
    <r>
      <rPr>
        <sz val="11"/>
        <color rgb="FF665EFD"/>
        <rFont val="Arial"/>
        <family val="2"/>
      </rPr>
      <t>-</t>
    </r>
  </si>
  <si>
    <t>Proceeds from debentures</t>
  </si>
  <si>
    <t>Redemption of debentures</t>
  </si>
  <si>
    <t>Dividends paid</t>
  </si>
  <si>
    <t>Net Cash Flow</t>
  </si>
  <si>
    <t>YoY growth</t>
  </si>
  <si>
    <t xml:space="preserve">
Mar 2015</t>
  </si>
  <si>
    <r>
      <t>Cash from Operating Activity </t>
    </r>
    <r>
      <rPr>
        <sz val="11"/>
        <color rgb="FF665EFD"/>
        <rFont val="InterVariable"/>
        <family val="2"/>
        <charset val="1"/>
      </rPr>
      <t>-</t>
    </r>
  </si>
  <si>
    <r>
      <t>Cash from Investing Activity </t>
    </r>
    <r>
      <rPr>
        <sz val="11"/>
        <color rgb="FF665EFD"/>
        <rFont val="InterVariable"/>
        <family val="2"/>
        <charset val="1"/>
      </rPr>
      <t>-</t>
    </r>
  </si>
  <si>
    <r>
      <t>Cash from Financing Activity </t>
    </r>
    <r>
      <rPr>
        <sz val="11"/>
        <color rgb="FF665EFD"/>
        <rFont val="InterVariable"/>
        <family val="2"/>
        <charset val="1"/>
      </rPr>
      <t>-</t>
    </r>
  </si>
  <si>
    <t>COMPANY NAME</t>
  </si>
  <si>
    <t>HDFC BANK LTD</t>
  </si>
  <si>
    <t>LATEST VERSION</t>
  </si>
  <si>
    <t>PLEASE DO NOT MAKE ANY CHANGES TO THIS SHEET</t>
  </si>
  <si>
    <t>CURRENT VERSION</t>
  </si>
  <si>
    <t>META</t>
  </si>
  <si>
    <t>Number of shares</t>
  </si>
  <si>
    <t>Market Capitalization</t>
  </si>
  <si>
    <t>PROFIT &amp; LOSS</t>
  </si>
  <si>
    <t>Report Date</t>
  </si>
  <si>
    <t>Raw Material Cost</t>
  </si>
  <si>
    <t>Change in Inventory</t>
  </si>
  <si>
    <t>Power and Fuel</t>
  </si>
  <si>
    <t>Other Mfr. Exp</t>
  </si>
  <si>
    <t>Quarters</t>
  </si>
  <si>
    <t>Expenses</t>
  </si>
  <si>
    <t>Operating Profit</t>
  </si>
  <si>
    <t>BALANCE SHEET</t>
  </si>
  <si>
    <t>Total</t>
  </si>
  <si>
    <t>Net Block</t>
  </si>
  <si>
    <t>No. of Equity Shares</t>
  </si>
  <si>
    <t>New Bonus Shares</t>
  </si>
  <si>
    <t>Face value</t>
  </si>
  <si>
    <t>CASH FLOW:</t>
  </si>
  <si>
    <t>Cash from Operating Activity</t>
  </si>
  <si>
    <t>Cash from Investing Activity</t>
  </si>
  <si>
    <t>Cash from Financing Activity</t>
  </si>
  <si>
    <t>PRICE:</t>
  </si>
  <si>
    <t>DERIVED:</t>
  </si>
  <si>
    <t>Adjusted Equity Shares in 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</si>
</sst>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 #,##0.00_ ;_ * \-#,##0.00_ ;_ * &quot;-&quot;??_ ;_ @_ "/>
    <numFmt numFmtId="165" formatCode="[$-409]mmm\-yy;@"/>
    <numFmt numFmtId="166" formatCode="[$-F800]dddd\,\ mmmm\ dd\,\ yyyy"/>
    <numFmt numFmtId="167" formatCode="[$-409]mmm/yy;@"/>
    <numFmt numFmtId="168" formatCode="&quot;₹&quot;\ #,##0.00"/>
    <numFmt numFmtId="169" formatCode="&quot;₹&quot;\ #,##0.00;\(&quot;₹&quot;\ #,##0.00\)"/>
    <numFmt numFmtId="170" formatCode="&quot;₹&quot;\ #,##0.0;\(&quot;₹&quot;\ #,##0.0\)"/>
    <numFmt numFmtId="171" formatCode="0.00\x"/>
    <numFmt numFmtId="172" formatCode="mmm/yyyy;"/>
    <numFmt numFmtId="173" formatCode="&quot;₹&quot;\ #,##0;[Red]\(&quot;₹&quot;\ #,##0\)"/>
  </numFmts>
  <fonts count="19">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sz val="11"/>
      <name val="Calibri"/>
      <family val="2"/>
      <scheme val="minor"/>
    </font>
    <font>
      <i/>
      <sz val="11"/>
      <color theme="3" tint="0.39997558519241921"/>
      <name val="Calibri"/>
      <family val="2"/>
      <scheme val="minor"/>
    </font>
    <font>
      <sz val="11"/>
      <color theme="3"/>
      <name val="Calibri"/>
      <family val="2"/>
      <scheme val="minor"/>
    </font>
    <font>
      <sz val="11"/>
      <color rgb="FF606F7B"/>
      <name val="Arial"/>
      <family val="2"/>
    </font>
    <font>
      <sz val="11"/>
      <color theme="1"/>
      <name val="Arial"/>
      <family val="2"/>
    </font>
    <font>
      <sz val="11"/>
      <color rgb="FF242424"/>
      <name val="Aptos Narrow"/>
      <charset val="1"/>
    </font>
    <font>
      <b/>
      <sz val="11"/>
      <color rgb="FF242424"/>
      <name val="Aptos Narrow"/>
      <charset val="1"/>
    </font>
    <font>
      <sz val="11"/>
      <color rgb="FF22222F"/>
      <name val="Arial"/>
      <family val="2"/>
    </font>
    <font>
      <sz val="11"/>
      <color rgb="FF665EFD"/>
      <name val="Arial"/>
      <family val="2"/>
    </font>
    <font>
      <b/>
      <u/>
      <sz val="18"/>
      <color rgb="FF22222F"/>
      <name val="Arial"/>
      <family val="2"/>
    </font>
    <font>
      <sz val="11"/>
      <color rgb="FF665EFD"/>
      <name val="InterVariable"/>
      <family val="2"/>
      <charset val="1"/>
    </font>
    <font>
      <sz val="11"/>
      <color rgb="FF606F7B"/>
      <name val="InterVariable"/>
      <charset val="1"/>
    </font>
    <font>
      <sz val="11"/>
      <color rgb="FF22222F"/>
      <name val="InterVariable"/>
      <charset val="1"/>
    </font>
  </fonts>
  <fills count="13">
    <fill>
      <patternFill patternType="none"/>
    </fill>
    <fill>
      <patternFill patternType="gray125"/>
    </fill>
    <fill>
      <patternFill patternType="solid">
        <fgColor theme="9"/>
      </patternFill>
    </fill>
    <fill>
      <patternFill patternType="solid">
        <fgColor rgb="FF0275D8"/>
        <bgColor indexed="64"/>
      </patternFill>
    </fill>
    <fill>
      <patternFill patternType="solid">
        <fgColor theme="2" tint="-0.749992370372631"/>
        <bgColor indexed="64"/>
      </patternFill>
    </fill>
    <fill>
      <patternFill patternType="solid">
        <fgColor theme="4" tint="0.59999389629810485"/>
        <bgColor indexed="64"/>
      </patternFill>
    </fill>
    <fill>
      <patternFill patternType="solid">
        <fgColor rgb="FFFFFFFF"/>
        <bgColor indexed="64"/>
      </patternFill>
    </fill>
    <fill>
      <patternFill patternType="solid">
        <fgColor rgb="FFF8F8FC"/>
        <bgColor indexed="64"/>
      </patternFill>
    </fill>
    <fill>
      <patternFill patternType="solid">
        <fgColor rgb="FF0B489E"/>
        <bgColor indexed="64"/>
      </patternFill>
    </fill>
    <fill>
      <patternFill patternType="solid">
        <fgColor theme="4" tint="0.79998168889431442"/>
        <bgColor indexed="64"/>
      </patternFill>
    </fill>
    <fill>
      <patternFill patternType="solid">
        <fgColor theme="2"/>
        <bgColor indexed="64"/>
      </patternFill>
    </fill>
    <fill>
      <patternFill patternType="solid">
        <fgColor theme="0"/>
        <bgColor indexed="64"/>
      </patternFill>
    </fill>
    <fill>
      <patternFill patternType="solid">
        <fgColor theme="2" tint="-9.9978637043366805E-2"/>
        <bgColor indexed="64"/>
      </patternFill>
    </fill>
  </fills>
  <borders count="7">
    <border>
      <left/>
      <right/>
      <top/>
      <bottom/>
      <diagonal/>
    </border>
    <border>
      <left/>
      <right/>
      <top style="thin">
        <color auto="1"/>
      </top>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DBE4F0"/>
      </bottom>
      <diagonal/>
    </border>
    <border>
      <left/>
      <right/>
      <top style="thick">
        <color rgb="FFDBE4F0"/>
      </top>
      <bottom/>
      <diagonal/>
    </border>
  </borders>
  <cellStyleXfs count="5">
    <xf numFmtId="0" fontId="0" fillId="0" borderId="0"/>
    <xf numFmtId="164"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9" fontId="3" fillId="0" borderId="0" applyFont="0" applyFill="0" applyBorder="0" applyAlignment="0" applyProtection="0"/>
  </cellStyleXfs>
  <cellXfs count="100">
    <xf numFmtId="0" fontId="0" fillId="0" borderId="0" xfId="0"/>
    <xf numFmtId="164" fontId="1" fillId="0" borderId="0" xfId="1" applyFont="1" applyBorder="1"/>
    <xf numFmtId="164" fontId="0" fillId="0" borderId="0" xfId="1" applyFont="1" applyBorder="1"/>
    <xf numFmtId="164" fontId="3" fillId="0" borderId="0" xfId="1" applyFont="1" applyBorder="1"/>
    <xf numFmtId="165" fontId="2" fillId="3" borderId="0" xfId="0" applyNumberFormat="1" applyFont="1" applyFill="1" applyAlignment="1">
      <alignment horizontal="center"/>
    </xf>
    <xf numFmtId="165" fontId="2" fillId="3" borderId="0" xfId="1" applyNumberFormat="1" applyFont="1" applyFill="1" applyBorder="1"/>
    <xf numFmtId="165" fontId="6" fillId="0" borderId="0" xfId="1" applyNumberFormat="1" applyFont="1" applyFill="1" applyBorder="1"/>
    <xf numFmtId="43" fontId="0" fillId="0" borderId="0" xfId="1" applyNumberFormat="1" applyFont="1" applyBorder="1"/>
    <xf numFmtId="166" fontId="0" fillId="0" borderId="0" xfId="0" applyNumberFormat="1"/>
    <xf numFmtId="0" fontId="5" fillId="4" borderId="0" xfId="0" applyFont="1" applyFill="1"/>
    <xf numFmtId="0" fontId="0" fillId="4" borderId="0" xfId="0" applyFill="1"/>
    <xf numFmtId="167" fontId="5" fillId="4" borderId="0" xfId="0" applyNumberFormat="1" applyFont="1" applyFill="1"/>
    <xf numFmtId="168" fontId="0" fillId="0" borderId="0" xfId="0" applyNumberFormat="1"/>
    <xf numFmtId="170" fontId="0" fillId="0" borderId="0" xfId="0" applyNumberFormat="1"/>
    <xf numFmtId="169" fontId="0" fillId="0" borderId="0" xfId="0" applyNumberFormat="1" applyAlignment="1">
      <alignment horizontal="right"/>
    </xf>
    <xf numFmtId="10" fontId="7" fillId="0" borderId="0" xfId="4" applyNumberFormat="1" applyFont="1"/>
    <xf numFmtId="0" fontId="7" fillId="0" borderId="0" xfId="0" applyFont="1"/>
    <xf numFmtId="0" fontId="1" fillId="5" borderId="0" xfId="0" applyFont="1" applyFill="1"/>
    <xf numFmtId="0" fontId="0" fillId="5" borderId="0" xfId="0" applyFill="1"/>
    <xf numFmtId="10" fontId="8" fillId="0" borderId="0" xfId="4" applyNumberFormat="1" applyFont="1"/>
    <xf numFmtId="164" fontId="1" fillId="0" borderId="0" xfId="1" applyFont="1" applyFill="1" applyBorder="1"/>
    <xf numFmtId="168" fontId="1" fillId="0" borderId="0" xfId="0" applyNumberFormat="1" applyFont="1"/>
    <xf numFmtId="0" fontId="1" fillId="0" borderId="0" xfId="0" applyFont="1"/>
    <xf numFmtId="0" fontId="4" fillId="0" borderId="0" xfId="2" applyAlignment="1" applyProtection="1">
      <alignment vertical="center"/>
    </xf>
    <xf numFmtId="170" fontId="1" fillId="0" borderId="0" xfId="0" applyNumberFormat="1" applyFont="1"/>
    <xf numFmtId="0" fontId="2" fillId="4" borderId="0" xfId="0" applyFont="1" applyFill="1"/>
    <xf numFmtId="10" fontId="0" fillId="0" borderId="0" xfId="0" applyNumberFormat="1"/>
    <xf numFmtId="167" fontId="5" fillId="4" borderId="0" xfId="0" applyNumberFormat="1" applyFont="1" applyFill="1" applyAlignment="1">
      <alignment horizontal="center"/>
    </xf>
    <xf numFmtId="0" fontId="0" fillId="0" borderId="1" xfId="0" applyBorder="1"/>
    <xf numFmtId="10" fontId="0" fillId="0" borderId="1" xfId="0" applyNumberFormat="1" applyBorder="1"/>
    <xf numFmtId="0" fontId="0" fillId="0" borderId="2" xfId="0" applyBorder="1"/>
    <xf numFmtId="10" fontId="0" fillId="0" borderId="2" xfId="0" applyNumberFormat="1" applyBorder="1"/>
    <xf numFmtId="171" fontId="0" fillId="0" borderId="2" xfId="0" applyNumberFormat="1" applyBorder="1"/>
    <xf numFmtId="10" fontId="1" fillId="0" borderId="0" xfId="0" applyNumberFormat="1" applyFont="1"/>
    <xf numFmtId="172" fontId="5" fillId="4" borderId="0" xfId="0" applyNumberFormat="1" applyFont="1" applyFill="1"/>
    <xf numFmtId="0" fontId="0" fillId="4" borderId="0" xfId="0" applyFill="1" applyAlignment="1">
      <alignment horizontal="left" vertical="center" wrapText="1"/>
    </xf>
    <xf numFmtId="0" fontId="2" fillId="0" borderId="0" xfId="0" applyFont="1"/>
    <xf numFmtId="0" fontId="0" fillId="0" borderId="3" xfId="0" applyBorder="1"/>
    <xf numFmtId="0" fontId="1" fillId="0" borderId="3" xfId="0" applyFont="1" applyBorder="1" applyAlignment="1">
      <alignment horizontal="right"/>
    </xf>
    <xf numFmtId="0" fontId="12" fillId="0" borderId="3" xfId="0" applyFont="1" applyBorder="1" applyAlignment="1">
      <alignment horizontal="right"/>
    </xf>
    <xf numFmtId="10" fontId="11" fillId="0" borderId="3" xfId="0" applyNumberFormat="1" applyFont="1" applyBorder="1"/>
    <xf numFmtId="10" fontId="0" fillId="0" borderId="3" xfId="0" applyNumberFormat="1" applyBorder="1"/>
    <xf numFmtId="9" fontId="0" fillId="0" borderId="3" xfId="0" applyNumberFormat="1" applyBorder="1"/>
    <xf numFmtId="10" fontId="0" fillId="0" borderId="3" xfId="0" applyNumberFormat="1" applyBorder="1" applyAlignment="1">
      <alignment horizontal="center"/>
    </xf>
    <xf numFmtId="0" fontId="0" fillId="0" borderId="3" xfId="0" applyBorder="1" applyAlignment="1">
      <alignment horizontal="center"/>
    </xf>
    <xf numFmtId="3" fontId="0" fillId="0" borderId="3" xfId="0" applyNumberFormat="1" applyBorder="1" applyAlignment="1">
      <alignment horizontal="center"/>
    </xf>
    <xf numFmtId="0" fontId="1" fillId="0" borderId="4" xfId="0" applyFont="1" applyBorder="1"/>
    <xf numFmtId="0" fontId="0" fillId="0" borderId="4" xfId="0" applyBorder="1"/>
    <xf numFmtId="0" fontId="5" fillId="8" borderId="0" xfId="0" applyFont="1" applyFill="1"/>
    <xf numFmtId="167" fontId="5" fillId="8" borderId="0" xfId="0" applyNumberFormat="1" applyFont="1" applyFill="1"/>
    <xf numFmtId="0" fontId="0" fillId="8" borderId="0" xfId="0" applyFill="1"/>
    <xf numFmtId="0" fontId="1" fillId="9" borderId="0" xfId="0" applyFont="1" applyFill="1"/>
    <xf numFmtId="0" fontId="0" fillId="9" borderId="0" xfId="0" applyFill="1"/>
    <xf numFmtId="0" fontId="1" fillId="10" borderId="0" xfId="0" applyFont="1" applyFill="1"/>
    <xf numFmtId="0" fontId="0" fillId="10" borderId="0" xfId="0" applyFill="1"/>
    <xf numFmtId="0" fontId="0" fillId="6" borderId="0" xfId="0" applyFill="1"/>
    <xf numFmtId="0" fontId="10" fillId="6" borderId="0" xfId="0" applyFont="1" applyFill="1" applyBorder="1" applyAlignment="1">
      <alignment horizontal="left" vertical="center" indent="1"/>
    </xf>
    <xf numFmtId="0" fontId="10" fillId="6" borderId="0" xfId="0" applyFont="1" applyFill="1" applyBorder="1" applyAlignment="1">
      <alignment horizontal="right" vertical="center" wrapText="1"/>
    </xf>
    <xf numFmtId="0" fontId="15" fillId="0" borderId="0" xfId="0" applyFont="1" applyAlignment="1">
      <alignment vertical="center"/>
    </xf>
    <xf numFmtId="0" fontId="13" fillId="12" borderId="0" xfId="0" applyFont="1" applyFill="1" applyBorder="1" applyAlignment="1">
      <alignment horizontal="left" vertical="center" indent="1"/>
    </xf>
    <xf numFmtId="0" fontId="13" fillId="11" borderId="0" xfId="0" applyFont="1" applyFill="1" applyBorder="1" applyAlignment="1">
      <alignment horizontal="left" vertical="center"/>
    </xf>
    <xf numFmtId="0" fontId="13" fillId="11" borderId="0" xfId="0" applyFont="1" applyFill="1" applyBorder="1" applyAlignment="1">
      <alignment horizontal="left" vertical="center" indent="1"/>
    </xf>
    <xf numFmtId="0" fontId="0" fillId="0" borderId="0" xfId="0" applyFont="1"/>
    <xf numFmtId="17" fontId="9" fillId="11" borderId="0" xfId="0" applyNumberFormat="1" applyFont="1" applyFill="1" applyBorder="1" applyAlignment="1">
      <alignment horizontal="right" vertical="center" wrapText="1"/>
    </xf>
    <xf numFmtId="164" fontId="1" fillId="0" borderId="0" xfId="0" applyNumberFormat="1" applyFont="1"/>
    <xf numFmtId="164" fontId="0" fillId="0" borderId="0" xfId="0" applyNumberFormat="1"/>
    <xf numFmtId="10" fontId="1" fillId="0" borderId="0" xfId="4" applyNumberFormat="1" applyFont="1"/>
    <xf numFmtId="10" fontId="0" fillId="0" borderId="0" xfId="4" applyNumberFormat="1" applyFont="1"/>
    <xf numFmtId="0" fontId="17" fillId="6" borderId="5" xfId="0" applyFont="1" applyFill="1" applyBorder="1" applyAlignment="1">
      <alignment wrapText="1"/>
    </xf>
    <xf numFmtId="17" fontId="17" fillId="6" borderId="5" xfId="0" applyNumberFormat="1" applyFont="1" applyFill="1" applyBorder="1" applyAlignment="1">
      <alignment wrapText="1"/>
    </xf>
    <xf numFmtId="0" fontId="18" fillId="7" borderId="6" xfId="0" applyFont="1" applyFill="1" applyBorder="1"/>
    <xf numFmtId="3" fontId="18" fillId="7" borderId="6" xfId="0" applyNumberFormat="1" applyFont="1" applyFill="1" applyBorder="1" applyAlignment="1">
      <alignment wrapText="1"/>
    </xf>
    <xf numFmtId="0" fontId="18" fillId="7" borderId="0" xfId="0" applyFont="1" applyFill="1"/>
    <xf numFmtId="0" fontId="18" fillId="7" borderId="0" xfId="0" applyFont="1" applyFill="1" applyAlignment="1">
      <alignment wrapText="1"/>
    </xf>
    <xf numFmtId="3" fontId="18" fillId="7" borderId="0" xfId="0" applyNumberFormat="1" applyFont="1" applyFill="1" applyAlignment="1">
      <alignment wrapText="1"/>
    </xf>
    <xf numFmtId="0" fontId="18" fillId="6" borderId="6" xfId="0" applyFont="1" applyFill="1" applyBorder="1"/>
    <xf numFmtId="0" fontId="18" fillId="6" borderId="6" xfId="0" applyFont="1" applyFill="1" applyBorder="1" applyAlignment="1">
      <alignment wrapText="1"/>
    </xf>
    <xf numFmtId="3" fontId="18" fillId="6" borderId="6" xfId="0" applyNumberFormat="1" applyFont="1" applyFill="1" applyBorder="1" applyAlignment="1">
      <alignment wrapText="1"/>
    </xf>
    <xf numFmtId="0" fontId="18" fillId="6" borderId="0" xfId="0" applyFont="1" applyFill="1"/>
    <xf numFmtId="0" fontId="18" fillId="6" borderId="0" xfId="0" applyFont="1" applyFill="1" applyAlignment="1">
      <alignment wrapText="1"/>
    </xf>
    <xf numFmtId="3" fontId="18" fillId="6" borderId="0" xfId="0" applyNumberFormat="1" applyFont="1" applyFill="1" applyAlignment="1">
      <alignment wrapText="1"/>
    </xf>
    <xf numFmtId="10" fontId="0" fillId="0" borderId="0" xfId="0" applyNumberFormat="1" applyFont="1"/>
    <xf numFmtId="0" fontId="0" fillId="0" borderId="0" xfId="0" applyAlignment="1">
      <alignment horizontal="left" vertical="center" wrapText="1"/>
    </xf>
    <xf numFmtId="0" fontId="5" fillId="4" borderId="0" xfId="0" applyFont="1" applyFill="1" applyAlignment="1">
      <alignment horizontal="center"/>
    </xf>
    <xf numFmtId="173" fontId="13" fillId="12" borderId="0" xfId="0" applyNumberFormat="1" applyFont="1" applyFill="1" applyBorder="1" applyAlignment="1">
      <alignment horizontal="right" vertical="center" wrapText="1"/>
    </xf>
    <xf numFmtId="173" fontId="13" fillId="12" borderId="0" xfId="0" applyNumberFormat="1" applyFont="1" applyFill="1" applyAlignment="1">
      <alignment horizontal="right" vertical="center" wrapText="1"/>
    </xf>
    <xf numFmtId="173" fontId="13" fillId="11" borderId="0" xfId="0" applyNumberFormat="1" applyFont="1" applyFill="1" applyBorder="1" applyAlignment="1">
      <alignment horizontal="right" vertical="center" wrapText="1"/>
    </xf>
    <xf numFmtId="173" fontId="13" fillId="11" borderId="0" xfId="0" applyNumberFormat="1" applyFont="1" applyFill="1" applyAlignment="1">
      <alignment horizontal="right" vertical="center" wrapText="1"/>
    </xf>
    <xf numFmtId="173" fontId="13" fillId="9" borderId="0" xfId="0" applyNumberFormat="1" applyFont="1" applyFill="1" applyAlignment="1">
      <alignment horizontal="right" vertical="center" wrapText="1"/>
    </xf>
    <xf numFmtId="0" fontId="0" fillId="0" borderId="0" xfId="0" applyAlignment="1">
      <alignment horizontal="left" wrapText="1"/>
    </xf>
    <xf numFmtId="0" fontId="0" fillId="0" borderId="0" xfId="0" applyAlignment="1">
      <alignment horizontal="left" vertical="top" wrapText="1"/>
    </xf>
    <xf numFmtId="0" fontId="0" fillId="0" borderId="0" xfId="0"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wrapText="1"/>
    </xf>
    <xf numFmtId="0" fontId="2" fillId="8" borderId="0" xfId="0" applyFont="1" applyFill="1" applyAlignment="1">
      <alignment horizontal="center"/>
    </xf>
    <xf numFmtId="0" fontId="0" fillId="0" borderId="0" xfId="0" applyAlignment="1">
      <alignment horizontal="center"/>
    </xf>
    <xf numFmtId="0" fontId="2" fillId="4" borderId="0" xfId="0" applyFont="1" applyFill="1" applyAlignment="1">
      <alignment horizontal="center"/>
    </xf>
    <xf numFmtId="0" fontId="5" fillId="4" borderId="0" xfId="0" applyFont="1" applyFill="1" applyAlignment="1">
      <alignment horizontal="center"/>
    </xf>
    <xf numFmtId="164" fontId="4" fillId="0" borderId="0" xfId="2" applyNumberFormat="1" applyBorder="1" applyAlignment="1" applyProtection="1">
      <alignment horizontal="center"/>
    </xf>
    <xf numFmtId="164" fontId="2" fillId="2" borderId="0" xfId="3" applyNumberFormat="1" applyFont="1" applyBorder="1" applyAlignment="1">
      <alignment horizontal="center"/>
    </xf>
  </cellXfs>
  <cellStyles count="5">
    <cellStyle name="Accent6" xfId="3" builtinId="49"/>
    <cellStyle name="Comma" xfId="1" builtinId="3"/>
    <cellStyle name="Hyperlink" xfId="2" builtinId="8"/>
    <cellStyle name="Normal" xfId="0" builtinId="0"/>
    <cellStyle name="Percent" xfId="4" builtinId="5"/>
  </cellStyles>
  <dxfs count="1">
    <dxf>
      <font>
        <b/>
        <i val="0"/>
        <color theme="0"/>
      </font>
      <fill>
        <patternFill>
          <bgColor theme="5"/>
        </patternFill>
      </fill>
    </dxf>
  </dxfs>
  <tableStyles count="0" defaultTableStyle="TableStyleMedium9" defaultPivotStyle="PivotStyleLight16"/>
  <colors>
    <mruColors>
      <color rgb="FF0B489E"/>
      <color rgb="FF0F62D6"/>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7285</xdr:colOff>
      <xdr:row>31</xdr:row>
      <xdr:rowOff>57603</xdr:rowOff>
    </xdr:from>
    <xdr:to>
      <xdr:col>5</xdr:col>
      <xdr:colOff>444446</xdr:colOff>
      <xdr:row>31</xdr:row>
      <xdr:rowOff>2116634</xdr:rowOff>
    </xdr:to>
    <xdr:pic>
      <xdr:nvPicPr>
        <xdr:cNvPr id="3" name="Picture 2">
          <a:extLst>
            <a:ext uri="{FF2B5EF4-FFF2-40B4-BE49-F238E27FC236}">
              <a16:creationId xmlns:a16="http://schemas.microsoft.com/office/drawing/2014/main" id="{FE995110-C81C-BA3E-28CD-324642D36C0B}"/>
            </a:ext>
            <a:ext uri="{147F2762-F138-4A5C-976F-8EAC2B608ADB}">
              <a16:predDERef xmlns:a16="http://schemas.microsoft.com/office/drawing/2014/main" pred="{065B730B-9064-9A7B-CA7E-1432B410AD10}"/>
            </a:ext>
          </a:extLst>
        </xdr:cNvPr>
        <xdr:cNvPicPr>
          <a:picLocks noChangeAspect="1"/>
        </xdr:cNvPicPr>
      </xdr:nvPicPr>
      <xdr:blipFill>
        <a:blip xmlns:r="http://schemas.openxmlformats.org/officeDocument/2006/relationships" r:embed="rId1"/>
        <a:stretch>
          <a:fillRect/>
        </a:stretch>
      </xdr:blipFill>
      <xdr:spPr>
        <a:xfrm>
          <a:off x="7285" y="6744153"/>
          <a:ext cx="5390161" cy="2059031"/>
        </a:xfrm>
        <a:prstGeom prst="rect">
          <a:avLst/>
        </a:prstGeom>
      </xdr:spPr>
    </xdr:pic>
    <xdr:clientData/>
  </xdr:twoCellAnchor>
  <xdr:twoCellAnchor editAs="oneCell">
    <xdr:from>
      <xdr:col>0</xdr:col>
      <xdr:colOff>76200</xdr:colOff>
      <xdr:row>0</xdr:row>
      <xdr:rowOff>85725</xdr:rowOff>
    </xdr:from>
    <xdr:to>
      <xdr:col>4</xdr:col>
      <xdr:colOff>1209675</xdr:colOff>
      <xdr:row>1</xdr:row>
      <xdr:rowOff>152400</xdr:rowOff>
    </xdr:to>
    <xdr:pic>
      <xdr:nvPicPr>
        <xdr:cNvPr id="4" name="Picture 3">
          <a:extLst>
            <a:ext uri="{FF2B5EF4-FFF2-40B4-BE49-F238E27FC236}">
              <a16:creationId xmlns:a16="http://schemas.microsoft.com/office/drawing/2014/main" id="{DD0D22FB-3A7F-34A4-63FA-D2008DA85582}"/>
            </a:ext>
            <a:ext uri="{147F2762-F138-4A5C-976F-8EAC2B608ADB}">
              <a16:predDERef xmlns:a16="http://schemas.microsoft.com/office/drawing/2014/main" pred="{FE995110-C81C-BA3E-28CD-324642D36C0B}"/>
            </a:ext>
          </a:extLst>
        </xdr:cNvPr>
        <xdr:cNvPicPr>
          <a:picLocks noChangeAspect="1"/>
        </xdr:cNvPicPr>
      </xdr:nvPicPr>
      <xdr:blipFill>
        <a:blip xmlns:r="http://schemas.openxmlformats.org/officeDocument/2006/relationships" r:embed="rId2"/>
        <a:srcRect t="23333" b="41852"/>
        <a:stretch>
          <a:fillRect/>
        </a:stretch>
      </xdr:blipFill>
      <xdr:spPr>
        <a:xfrm>
          <a:off x="76200" y="85725"/>
          <a:ext cx="4572000" cy="895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114300</xdr:colOff>
      <xdr:row>0</xdr:row>
      <xdr:rowOff>0</xdr:rowOff>
    </xdr:from>
    <xdr:to>
      <xdr:col>4</xdr:col>
      <xdr:colOff>904875</xdr:colOff>
      <xdr:row>4</xdr:row>
      <xdr:rowOff>171450</xdr:rowOff>
    </xdr:to>
    <xdr:pic>
      <xdr:nvPicPr>
        <xdr:cNvPr id="2" name="Picture 1">
          <a:extLst>
            <a:ext uri="{FF2B5EF4-FFF2-40B4-BE49-F238E27FC236}">
              <a16:creationId xmlns:a16="http://schemas.microsoft.com/office/drawing/2014/main" id="{6FAB2778-6D7E-48A7-9769-5D02961AC7AB}"/>
            </a:ext>
            <a:ext uri="{147F2762-F138-4A5C-976F-8EAC2B608ADB}">
              <a16:predDERef xmlns:a16="http://schemas.microsoft.com/office/drawing/2014/main" pred="{FE995110-C81C-BA3E-28CD-324642D36C0B}"/>
            </a:ext>
          </a:extLst>
        </xdr:cNvPr>
        <xdr:cNvPicPr>
          <a:picLocks noChangeAspect="1"/>
        </xdr:cNvPicPr>
      </xdr:nvPicPr>
      <xdr:blipFill>
        <a:blip xmlns:r="http://schemas.openxmlformats.org/officeDocument/2006/relationships" r:embed="rId1"/>
        <a:srcRect t="23333" b="41852"/>
        <a:stretch>
          <a:fillRect/>
        </a:stretch>
      </xdr:blipFill>
      <xdr:spPr>
        <a:xfrm>
          <a:off x="114300" y="0"/>
          <a:ext cx="4572000" cy="895350"/>
        </a:xfrm>
        <a:prstGeom prst="rect">
          <a:avLst/>
        </a:prstGeom>
      </xdr:spPr>
    </xdr:pic>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5D3E3-D3D1-4F07-B3FE-C4306CCA4A05}">
  <sheetPr>
    <tabColor theme="2" tint="-0.749992370372631"/>
  </sheetPr>
  <dimension ref="A1"/>
  <sheetViews>
    <sheetView showGridLines="0" workbookViewId="0">
      <selection activeCell="I15" sqref="I15"/>
    </sheetView>
  </sheetViews>
  <sheetFormatPr defaultRowHeight="14.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51C65-1C58-48F6-98B2-9FBCC37FB4BB}">
  <dimension ref="A1:J49"/>
  <sheetViews>
    <sheetView showGridLines="0" tabSelected="1" topLeftCell="A24" zoomScale="99" workbookViewId="0">
      <selection activeCell="B30" sqref="B30:J31"/>
    </sheetView>
  </sheetViews>
  <sheetFormatPr defaultRowHeight="14.45"/>
  <cols>
    <col min="1" max="1" width="1.85546875" customWidth="1"/>
    <col min="2" max="2" width="21.7109375" customWidth="1"/>
    <col min="3" max="3" width="14.28515625" bestFit="1" customWidth="1"/>
    <col min="4" max="4" width="13.7109375" customWidth="1"/>
    <col min="5" max="5" width="22.7109375" customWidth="1"/>
    <col min="6" max="6" width="18.42578125" customWidth="1"/>
  </cols>
  <sheetData>
    <row r="1" spans="1:10" ht="65.25" customHeight="1">
      <c r="A1" t="s">
        <v>0</v>
      </c>
    </row>
    <row r="3" spans="1:10">
      <c r="B3" s="25" t="s">
        <v>1</v>
      </c>
      <c r="C3" s="10"/>
      <c r="D3" s="10"/>
      <c r="E3" s="10"/>
      <c r="F3" s="10"/>
      <c r="G3" s="10"/>
      <c r="H3" s="10"/>
      <c r="I3" s="10"/>
      <c r="J3" s="10"/>
    </row>
    <row r="4" spans="1:10" ht="10.5" customHeight="1">
      <c r="B4" s="36"/>
    </row>
    <row r="5" spans="1:10">
      <c r="B5" s="90" t="s">
        <v>2</v>
      </c>
      <c r="C5" s="90"/>
      <c r="D5" s="90"/>
      <c r="E5" s="90"/>
      <c r="F5" s="90"/>
      <c r="G5" s="90"/>
      <c r="H5" s="90"/>
      <c r="I5" s="90"/>
      <c r="J5" s="90"/>
    </row>
    <row r="6" spans="1:10">
      <c r="B6" s="90"/>
      <c r="C6" s="90"/>
      <c r="D6" s="90"/>
      <c r="E6" s="90"/>
      <c r="F6" s="90"/>
      <c r="G6" s="90"/>
      <c r="H6" s="90"/>
      <c r="I6" s="90"/>
      <c r="J6" s="90"/>
    </row>
    <row r="7" spans="1:10">
      <c r="B7" s="90"/>
      <c r="C7" s="90"/>
      <c r="D7" s="90"/>
      <c r="E7" s="90"/>
      <c r="F7" s="90"/>
      <c r="G7" s="90"/>
      <c r="H7" s="90"/>
      <c r="I7" s="90"/>
      <c r="J7" s="90"/>
    </row>
    <row r="8" spans="1:10">
      <c r="B8" s="25" t="s">
        <v>3</v>
      </c>
      <c r="C8" s="10"/>
      <c r="D8" s="10"/>
      <c r="E8" s="10"/>
      <c r="F8" s="10"/>
      <c r="G8" s="10"/>
      <c r="H8" s="10"/>
      <c r="I8" s="10"/>
      <c r="J8" s="10"/>
    </row>
    <row r="10" spans="1:10" ht="18" customHeight="1">
      <c r="B10" s="22" t="s">
        <v>4</v>
      </c>
    </row>
    <row r="11" spans="1:10">
      <c r="B11" s="91" t="s">
        <v>5</v>
      </c>
      <c r="C11" s="91"/>
      <c r="D11" s="91"/>
      <c r="E11" s="91"/>
      <c r="F11" s="91"/>
      <c r="G11" s="91"/>
      <c r="H11" s="91"/>
      <c r="I11" s="91"/>
      <c r="J11" s="91"/>
    </row>
    <row r="12" spans="1:10">
      <c r="B12" s="91"/>
      <c r="C12" s="91"/>
      <c r="D12" s="91"/>
      <c r="E12" s="91"/>
      <c r="F12" s="91"/>
      <c r="G12" s="91"/>
      <c r="H12" s="91"/>
      <c r="I12" s="91"/>
      <c r="J12" s="91"/>
    </row>
    <row r="13" spans="1:10" ht="27" customHeight="1">
      <c r="B13" s="91"/>
      <c r="C13" s="91"/>
      <c r="D13" s="91"/>
      <c r="E13" s="91"/>
      <c r="F13" s="91"/>
      <c r="G13" s="91"/>
      <c r="H13" s="91"/>
      <c r="I13" s="91"/>
      <c r="J13" s="91"/>
    </row>
    <row r="14" spans="1:10">
      <c r="B14" s="82"/>
      <c r="C14" s="82"/>
      <c r="D14" s="82"/>
      <c r="E14" s="82"/>
      <c r="F14" s="82"/>
      <c r="G14" s="82"/>
      <c r="H14" s="82"/>
      <c r="I14" s="82"/>
      <c r="J14" s="82"/>
    </row>
    <row r="15" spans="1:10">
      <c r="B15" s="46" t="s">
        <v>6</v>
      </c>
      <c r="C15" s="38" t="s">
        <v>7</v>
      </c>
      <c r="D15" s="39" t="s">
        <v>8</v>
      </c>
    </row>
    <row r="16" spans="1:10">
      <c r="B16" s="47" t="s">
        <v>9</v>
      </c>
      <c r="C16" s="40">
        <v>0.19900000000000001</v>
      </c>
      <c r="D16" s="41">
        <v>0.17699999999999999</v>
      </c>
    </row>
    <row r="17" spans="1:10">
      <c r="B17" s="47" t="s">
        <v>10</v>
      </c>
      <c r="C17" s="40">
        <v>3.5000000000000003E-2</v>
      </c>
      <c r="D17" s="41">
        <v>3.3000000000000002E-2</v>
      </c>
    </row>
    <row r="18" spans="1:10">
      <c r="B18" s="47" t="s">
        <v>11</v>
      </c>
      <c r="C18" s="40">
        <v>1.2E-2</v>
      </c>
      <c r="D18" s="41">
        <v>1.7999999999999999E-2</v>
      </c>
    </row>
    <row r="19" spans="1:10">
      <c r="B19" s="47" t="s">
        <v>12</v>
      </c>
      <c r="C19" s="40">
        <v>4.0000000000000001E-3</v>
      </c>
      <c r="D19" s="41">
        <v>5.0000000000000001E-3</v>
      </c>
    </row>
    <row r="20" spans="1:10">
      <c r="B20" s="47" t="s">
        <v>13</v>
      </c>
      <c r="C20" s="40">
        <v>0.39200000000000002</v>
      </c>
      <c r="D20" s="42">
        <v>0.45</v>
      </c>
    </row>
    <row r="21" spans="1:10">
      <c r="B21" s="47" t="s">
        <v>14</v>
      </c>
      <c r="C21" s="40">
        <v>1.9E-2</v>
      </c>
      <c r="D21" s="41">
        <v>1.2E-2</v>
      </c>
    </row>
    <row r="23" spans="1:10">
      <c r="B23" s="22" t="s">
        <v>15</v>
      </c>
    </row>
    <row r="24" spans="1:10" ht="14.45" customHeight="1">
      <c r="B24" s="91" t="s">
        <v>16</v>
      </c>
      <c r="C24" s="91"/>
      <c r="D24" s="91"/>
      <c r="E24" s="91"/>
      <c r="F24" s="91"/>
      <c r="G24" s="91"/>
      <c r="H24" s="91"/>
      <c r="I24" s="91"/>
      <c r="J24" s="91"/>
    </row>
    <row r="25" spans="1:10">
      <c r="B25" s="91"/>
      <c r="C25" s="91"/>
      <c r="D25" s="91"/>
      <c r="E25" s="91"/>
      <c r="F25" s="91"/>
      <c r="G25" s="91"/>
      <c r="H25" s="91"/>
      <c r="I25" s="91"/>
      <c r="J25" s="91"/>
    </row>
    <row r="26" spans="1:10">
      <c r="B26" s="91"/>
      <c r="C26" s="91"/>
      <c r="D26" s="91"/>
      <c r="E26" s="91"/>
      <c r="F26" s="91"/>
      <c r="G26" s="91"/>
      <c r="H26" s="91"/>
      <c r="I26" s="91"/>
      <c r="J26" s="91"/>
    </row>
    <row r="27" spans="1:10">
      <c r="B27" s="91"/>
      <c r="C27" s="91"/>
      <c r="D27" s="91"/>
      <c r="E27" s="91"/>
      <c r="F27" s="91"/>
      <c r="G27" s="91"/>
      <c r="H27" s="91"/>
      <c r="I27" s="91"/>
      <c r="J27" s="91"/>
    </row>
    <row r="28" spans="1:10">
      <c r="B28" s="82"/>
      <c r="C28" s="82"/>
      <c r="D28" s="82"/>
      <c r="E28" s="82"/>
      <c r="F28" s="82"/>
      <c r="G28" s="82"/>
      <c r="H28" s="82"/>
      <c r="I28" s="82"/>
      <c r="J28" s="82"/>
    </row>
    <row r="29" spans="1:10">
      <c r="A29" t="s">
        <v>0</v>
      </c>
      <c r="B29" s="22" t="s">
        <v>17</v>
      </c>
    </row>
    <row r="30" spans="1:10" ht="15">
      <c r="B30" s="92" t="s">
        <v>18</v>
      </c>
      <c r="C30" s="92"/>
      <c r="D30" s="92"/>
      <c r="E30" s="92"/>
      <c r="F30" s="92"/>
      <c r="G30" s="92"/>
      <c r="H30" s="92"/>
      <c r="I30" s="92"/>
      <c r="J30" s="92"/>
    </row>
    <row r="31" spans="1:10" ht="15">
      <c r="B31" s="92"/>
      <c r="C31" s="92"/>
      <c r="D31" s="92"/>
      <c r="E31" s="92"/>
      <c r="F31" s="92"/>
      <c r="G31" s="92"/>
      <c r="H31" s="92"/>
      <c r="I31" s="92"/>
      <c r="J31" s="92"/>
    </row>
    <row r="32" spans="1:10" ht="184.5" customHeight="1">
      <c r="B32" s="82"/>
      <c r="C32" s="82"/>
      <c r="D32" s="82"/>
      <c r="E32" s="82"/>
      <c r="F32" s="82"/>
      <c r="G32" s="82"/>
      <c r="H32" s="82"/>
      <c r="I32" s="82"/>
      <c r="J32" s="82"/>
    </row>
    <row r="33" spans="2:10">
      <c r="B33" s="25" t="s">
        <v>19</v>
      </c>
      <c r="C33" s="35"/>
      <c r="D33" s="35"/>
      <c r="E33" s="35"/>
      <c r="F33" s="35"/>
      <c r="G33" s="35"/>
      <c r="H33" s="35"/>
      <c r="I33" s="35"/>
      <c r="J33" s="35"/>
    </row>
    <row r="34" spans="2:10">
      <c r="B34" s="36"/>
      <c r="C34" s="82"/>
      <c r="D34" s="82"/>
      <c r="E34" s="82"/>
      <c r="F34" s="82"/>
      <c r="G34" s="82"/>
      <c r="H34" s="82"/>
      <c r="I34" s="82"/>
      <c r="J34" s="82"/>
    </row>
    <row r="35" spans="2:10">
      <c r="B35" s="37" t="s">
        <v>20</v>
      </c>
      <c r="C35" s="44" t="s">
        <v>21</v>
      </c>
      <c r="E35" s="37" t="s">
        <v>22</v>
      </c>
      <c r="F35" s="43">
        <v>0.13600000000000001</v>
      </c>
    </row>
    <row r="36" spans="2:10">
      <c r="B36" s="37" t="s">
        <v>23</v>
      </c>
      <c r="C36" s="44" t="s">
        <v>24</v>
      </c>
      <c r="E36" s="37" t="s">
        <v>25</v>
      </c>
      <c r="F36" s="44" t="s">
        <v>26</v>
      </c>
    </row>
    <row r="37" spans="2:10">
      <c r="B37" s="37" t="s">
        <v>27</v>
      </c>
      <c r="C37" s="44" t="s">
        <v>28</v>
      </c>
      <c r="E37" s="37" t="s">
        <v>29</v>
      </c>
      <c r="F37" s="43">
        <v>0.12</v>
      </c>
    </row>
    <row r="38" spans="2:10">
      <c r="B38" s="37" t="s">
        <v>30</v>
      </c>
      <c r="C38" s="44">
        <v>13.7</v>
      </c>
      <c r="E38" s="37" t="s">
        <v>31</v>
      </c>
      <c r="F38" s="44" t="s">
        <v>32</v>
      </c>
    </row>
    <row r="39" spans="2:10">
      <c r="B39" s="37" t="s">
        <v>33</v>
      </c>
      <c r="C39" s="44" t="s">
        <v>34</v>
      </c>
      <c r="E39" s="37" t="s">
        <v>35</v>
      </c>
      <c r="F39" s="45">
        <v>1541</v>
      </c>
    </row>
    <row r="40" spans="2:10">
      <c r="B40" s="37" t="s">
        <v>36</v>
      </c>
      <c r="C40" s="43">
        <v>1.84E-2</v>
      </c>
      <c r="E40" s="37" t="s">
        <v>37</v>
      </c>
      <c r="F40" s="44" t="s">
        <v>38</v>
      </c>
    </row>
    <row r="41" spans="2:10">
      <c r="B41" s="37" t="s">
        <v>39</v>
      </c>
      <c r="C41" s="43">
        <v>7.0199999999999999E-2</v>
      </c>
    </row>
    <row r="44" spans="2:10" ht="15" customHeight="1">
      <c r="B44" s="89" t="s">
        <v>40</v>
      </c>
      <c r="C44" s="89"/>
      <c r="D44" s="89"/>
      <c r="E44" s="89"/>
      <c r="F44" s="89"/>
      <c r="G44" s="89"/>
      <c r="H44" s="89"/>
      <c r="I44" s="89"/>
      <c r="J44" s="89"/>
    </row>
    <row r="45" spans="2:10">
      <c r="B45" s="89"/>
      <c r="C45" s="89"/>
      <c r="D45" s="89"/>
      <c r="E45" s="89"/>
      <c r="F45" s="89"/>
      <c r="G45" s="89"/>
      <c r="H45" s="89"/>
      <c r="I45" s="89"/>
      <c r="J45" s="89"/>
    </row>
    <row r="46" spans="2:10">
      <c r="B46" s="89"/>
      <c r="C46" s="89"/>
      <c r="D46" s="89"/>
      <c r="E46" s="89"/>
      <c r="F46" s="89"/>
      <c r="G46" s="89"/>
      <c r="H46" s="89"/>
      <c r="I46" s="89"/>
      <c r="J46" s="89"/>
    </row>
    <row r="48" spans="2:10" ht="14.45" customHeight="1">
      <c r="B48" s="89" t="s">
        <v>41</v>
      </c>
      <c r="C48" s="89"/>
      <c r="D48" s="89"/>
      <c r="E48" s="89"/>
      <c r="F48" s="89"/>
      <c r="G48" s="89"/>
      <c r="H48" s="89"/>
      <c r="I48" s="89"/>
      <c r="J48" s="89"/>
    </row>
    <row r="49" spans="2:10" ht="14.45" customHeight="1">
      <c r="B49" s="89"/>
      <c r="C49" s="89"/>
      <c r="D49" s="89"/>
      <c r="E49" s="89"/>
      <c r="F49" s="89"/>
      <c r="G49" s="89"/>
      <c r="H49" s="89"/>
      <c r="I49" s="89"/>
      <c r="J49" s="89"/>
    </row>
  </sheetData>
  <mergeCells count="6">
    <mergeCell ref="B44:J46"/>
    <mergeCell ref="B48:J49"/>
    <mergeCell ref="B5:J7"/>
    <mergeCell ref="B11:J13"/>
    <mergeCell ref="B24:J27"/>
    <mergeCell ref="B30:J3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9E6E3-4B3A-408B-AD18-D22E991681FD}">
  <dimension ref="A6:T144"/>
  <sheetViews>
    <sheetView showGridLines="0" zoomScale="71" zoomScaleNormal="118" workbookViewId="0">
      <selection activeCell="B72" sqref="B72"/>
    </sheetView>
  </sheetViews>
  <sheetFormatPr defaultRowHeight="14.45"/>
  <cols>
    <col min="1" max="1" width="2.85546875" customWidth="1"/>
    <col min="2" max="2" width="25.28515625" bestFit="1" customWidth="1"/>
    <col min="3" max="10" width="14.28515625" bestFit="1" customWidth="1"/>
    <col min="11" max="11" width="2" customWidth="1"/>
    <col min="12" max="12" width="10.5703125" customWidth="1"/>
    <col min="13" max="13" width="25.28515625" customWidth="1"/>
  </cols>
  <sheetData>
    <row r="6" spans="1:13" ht="17.25" customHeight="1">
      <c r="B6" s="94" t="str">
        <f>"Historical Financial Statement - "&amp; 'Data Sheet'!B1</f>
        <v>Historical Financial Statement - HDFC BANK LTD</v>
      </c>
      <c r="C6" s="94"/>
      <c r="D6" s="94"/>
      <c r="E6" s="94"/>
      <c r="F6" s="94"/>
      <c r="G6" s="94"/>
      <c r="H6" s="94"/>
      <c r="I6" s="94"/>
      <c r="J6" s="94"/>
      <c r="K6" s="94"/>
    </row>
    <row r="7" spans="1:13">
      <c r="B7" s="48" t="s">
        <v>42</v>
      </c>
      <c r="C7" s="49">
        <f>'Data Sheet'!D16</f>
        <v>43555</v>
      </c>
      <c r="D7" s="49">
        <f>'Data Sheet'!E16</f>
        <v>43921</v>
      </c>
      <c r="E7" s="49">
        <f>'Data Sheet'!F16</f>
        <v>44286</v>
      </c>
      <c r="F7" s="49">
        <f>'Data Sheet'!G16</f>
        <v>44651</v>
      </c>
      <c r="G7" s="49">
        <f>'Data Sheet'!H16</f>
        <v>45016</v>
      </c>
      <c r="H7" s="49">
        <f>'Data Sheet'!I16</f>
        <v>45382</v>
      </c>
      <c r="I7" s="49">
        <f>'Data Sheet'!J16</f>
        <v>45747</v>
      </c>
      <c r="J7" s="49">
        <f>'Data Sheet'!K16</f>
        <v>46112</v>
      </c>
      <c r="K7" s="50"/>
    </row>
    <row r="8" spans="1:13">
      <c r="A8" t="s">
        <v>43</v>
      </c>
      <c r="B8" s="51" t="s">
        <v>44</v>
      </c>
      <c r="C8" s="52"/>
      <c r="D8" s="52"/>
      <c r="E8" s="52"/>
      <c r="F8" s="52"/>
      <c r="G8" s="52"/>
      <c r="H8" s="52"/>
      <c r="I8" s="52"/>
      <c r="J8" s="52"/>
      <c r="K8" s="52"/>
    </row>
    <row r="9" spans="1:13" ht="14.45" customHeight="1">
      <c r="B9" t="s">
        <v>45</v>
      </c>
      <c r="C9" s="13">
        <f>IFERROR('Data Sheet'!D17,0)</f>
        <v>105160.74</v>
      </c>
      <c r="D9" s="13">
        <f>IFERROR('Data Sheet'!E17,0)</f>
        <v>122189.29</v>
      </c>
      <c r="E9" s="13">
        <f>IFERROR('Data Sheet'!F17,0)</f>
        <v>128552.4</v>
      </c>
      <c r="F9" s="13">
        <f>IFERROR('Data Sheet'!G17,0)</f>
        <v>135936.41</v>
      </c>
      <c r="G9" s="13">
        <f>IFERROR('Data Sheet'!H17,0)</f>
        <v>170754.05</v>
      </c>
      <c r="H9" s="13">
        <f>IFERROR('Data Sheet'!I17,0)</f>
        <v>283649.02</v>
      </c>
      <c r="I9" s="13">
        <f>IFERROR('Data Sheet'!J17,0)</f>
        <v>336367.43</v>
      </c>
      <c r="J9" s="13">
        <f>IFERROR('Data Sheet'!K17,0)</f>
        <v>348615.15</v>
      </c>
      <c r="M9" s="95"/>
    </row>
    <row r="10" spans="1:13" ht="14.45" customHeight="1">
      <c r="B10" s="16" t="s">
        <v>46</v>
      </c>
      <c r="C10" s="14" t="s">
        <v>47</v>
      </c>
      <c r="D10" s="15">
        <f>D9/C9-1</f>
        <v>0.16192877684200391</v>
      </c>
      <c r="E10" s="15">
        <f t="shared" ref="E10:J10" si="0">E9/D9-1</f>
        <v>5.2075840689474573E-2</v>
      </c>
      <c r="F10" s="15">
        <f t="shared" si="0"/>
        <v>5.7439689963003415E-2</v>
      </c>
      <c r="G10" s="15">
        <f t="shared" si="0"/>
        <v>0.25613181928226569</v>
      </c>
      <c r="H10" s="15">
        <f t="shared" si="0"/>
        <v>0.66115544550773486</v>
      </c>
      <c r="I10" s="15">
        <f t="shared" si="0"/>
        <v>0.18585789578966283</v>
      </c>
      <c r="J10" s="15">
        <f t="shared" si="0"/>
        <v>3.6411729875273746E-2</v>
      </c>
      <c r="M10" s="95"/>
    </row>
    <row r="12" spans="1:13">
      <c r="B12" t="s">
        <v>48</v>
      </c>
      <c r="C12" s="13">
        <f>IFERROR(SUM('Data Sheet'!D20:D22,'Data Sheet'!D18)-(1*'Data Sheet'!D19),0)</f>
        <v>11738.28</v>
      </c>
      <c r="D12" s="13">
        <f>IFERROR(SUM('Data Sheet'!E20:E22,'Data Sheet'!E18)-(1*'Data Sheet'!E19),0)</f>
        <v>14217.54</v>
      </c>
      <c r="E12" s="13">
        <f>IFERROR(SUM('Data Sheet'!F20:F22,'Data Sheet'!F18)-(1*'Data Sheet'!F19),0)</f>
        <v>15331.460000000001</v>
      </c>
      <c r="F12" s="13">
        <f>IFERROR(SUM('Data Sheet'!G20:G22,'Data Sheet'!G18)-(1*'Data Sheet'!G19),0)</f>
        <v>17677.079999999998</v>
      </c>
      <c r="G12" s="13">
        <f>IFERROR(SUM('Data Sheet'!H20:H22,'Data Sheet'!H18)-(1*'Data Sheet'!H19),0)</f>
        <v>22207.86</v>
      </c>
      <c r="H12" s="13">
        <f>IFERROR(SUM('Data Sheet'!I20:I22,'Data Sheet'!I18)-(1*'Data Sheet'!I19),0)</f>
        <v>34305.82</v>
      </c>
      <c r="I12" s="13">
        <f>IFERROR(SUM('Data Sheet'!J20:J22,'Data Sheet'!J18)-(1*'Data Sheet'!J19),0)</f>
        <v>38111.449999999997</v>
      </c>
      <c r="J12" s="13">
        <f>IFERROR(SUM('Data Sheet'!K20:K22,'Data Sheet'!K18)-(1*'Data Sheet'!K19),0)</f>
        <v>42336.45</v>
      </c>
      <c r="M12" s="95"/>
    </row>
    <row r="13" spans="1:13">
      <c r="B13" s="16" t="s">
        <v>49</v>
      </c>
      <c r="C13" s="15">
        <f>C12/C9</f>
        <v>0.11162226511528922</v>
      </c>
      <c r="D13" s="15">
        <f t="shared" ref="D13:J13" si="1">D12/D9</f>
        <v>0.11635667905100358</v>
      </c>
      <c r="E13" s="15">
        <f t="shared" si="1"/>
        <v>0.11926233971516674</v>
      </c>
      <c r="F13" s="15">
        <f t="shared" si="1"/>
        <v>0.13003933236135923</v>
      </c>
      <c r="G13" s="15">
        <f t="shared" si="1"/>
        <v>0.1300575886779845</v>
      </c>
      <c r="H13" s="15">
        <f t="shared" si="1"/>
        <v>0.12094460964469399</v>
      </c>
      <c r="I13" s="15">
        <f t="shared" si="1"/>
        <v>0.11330303293633393</v>
      </c>
      <c r="J13" s="15">
        <f t="shared" si="1"/>
        <v>0.1214417962042097</v>
      </c>
      <c r="M13" s="95"/>
    </row>
    <row r="15" spans="1:13">
      <c r="B15" t="s">
        <v>50</v>
      </c>
      <c r="C15" s="12">
        <f>C9-C12</f>
        <v>93422.46</v>
      </c>
      <c r="D15" s="13">
        <f t="shared" ref="D15:J15" si="2">D9-D12</f>
        <v>107971.75</v>
      </c>
      <c r="E15" s="13">
        <f t="shared" si="2"/>
        <v>113220.93999999999</v>
      </c>
      <c r="F15" s="13">
        <f t="shared" si="2"/>
        <v>118259.33</v>
      </c>
      <c r="G15" s="13">
        <f t="shared" si="2"/>
        <v>148546.19</v>
      </c>
      <c r="H15" s="13">
        <f t="shared" si="2"/>
        <v>249343.2</v>
      </c>
      <c r="I15" s="13">
        <f t="shared" si="2"/>
        <v>298255.98</v>
      </c>
      <c r="J15" s="13">
        <f t="shared" si="2"/>
        <v>306278.7</v>
      </c>
      <c r="K15" s="8"/>
      <c r="M15" s="95"/>
    </row>
    <row r="16" spans="1:13">
      <c r="B16" s="16" t="s">
        <v>51</v>
      </c>
      <c r="C16" s="15">
        <f>C15/C9</f>
        <v>0.88837773488471083</v>
      </c>
      <c r="D16" s="15">
        <f t="shared" ref="D16:J16" si="3">D15/D9</f>
        <v>0.88364332094899645</v>
      </c>
      <c r="E16" s="15">
        <f t="shared" si="3"/>
        <v>0.88073766028483325</v>
      </c>
      <c r="F16" s="15">
        <f t="shared" si="3"/>
        <v>0.86996066763864077</v>
      </c>
      <c r="G16" s="15">
        <f t="shared" si="3"/>
        <v>0.86994241132201555</v>
      </c>
      <c r="H16" s="15">
        <f t="shared" si="3"/>
        <v>0.879055390355306</v>
      </c>
      <c r="I16" s="15">
        <f t="shared" si="3"/>
        <v>0.88669696706366607</v>
      </c>
      <c r="J16" s="15">
        <f t="shared" si="3"/>
        <v>0.8785582037957903</v>
      </c>
      <c r="K16" s="8"/>
      <c r="M16" s="95"/>
    </row>
    <row r="18" spans="2:13">
      <c r="B18" t="s">
        <v>52</v>
      </c>
      <c r="C18" s="12">
        <f>IFERROR(SUM('Data Sheet'!D23:D24),0)</f>
        <v>23117.989999999998</v>
      </c>
      <c r="D18" s="12">
        <f>IFERROR(SUM('Data Sheet'!E23:E24),0)</f>
        <v>31241.67</v>
      </c>
      <c r="E18" s="12">
        <f>IFERROR(SUM('Data Sheet'!F23:F24),0)</f>
        <v>37125.07</v>
      </c>
      <c r="F18" s="12">
        <f>IFERROR(SUM('Data Sheet'!G23:G24),0)</f>
        <v>38879.879999999997</v>
      </c>
      <c r="G18" s="12">
        <f>IFERROR(SUM('Data Sheet'!H23:H24),0)</f>
        <v>40834.44</v>
      </c>
      <c r="H18" s="12">
        <f>IFERROR(SUM('Data Sheet'!I23:I24),0)</f>
        <v>139889.72</v>
      </c>
      <c r="I18" s="12">
        <f>IFERROR(SUM('Data Sheet'!J23:J24),0)</f>
        <v>148863</v>
      </c>
      <c r="J18" s="12">
        <f>IFERROR(SUM('Data Sheet'!K23:K24),0)</f>
        <v>161298.78</v>
      </c>
      <c r="M18" s="95"/>
    </row>
    <row r="19" spans="2:13">
      <c r="B19" s="16" t="s">
        <v>53</v>
      </c>
      <c r="C19" s="15">
        <f>C18/C9</f>
        <v>0.21983479766308223</v>
      </c>
      <c r="D19" s="15">
        <f t="shared" ref="D19:J19" si="4">D18/D9</f>
        <v>0.25568255613892182</v>
      </c>
      <c r="E19" s="15">
        <f t="shared" si="4"/>
        <v>0.28879328585075037</v>
      </c>
      <c r="F19" s="15">
        <f t="shared" si="4"/>
        <v>0.28601520372650707</v>
      </c>
      <c r="G19" s="15">
        <f t="shared" si="4"/>
        <v>0.23914185344359332</v>
      </c>
      <c r="H19" s="15">
        <f t="shared" si="4"/>
        <v>0.49317892936841451</v>
      </c>
      <c r="I19" s="15">
        <f t="shared" si="4"/>
        <v>0.44256068430882267</v>
      </c>
      <c r="J19" s="15">
        <f t="shared" si="4"/>
        <v>0.46268436698749321</v>
      </c>
      <c r="M19" s="95"/>
    </row>
    <row r="21" spans="2:13">
      <c r="B21" t="s">
        <v>54</v>
      </c>
      <c r="C21" s="13">
        <f>'Data Sheet'!D25</f>
        <v>18947.05</v>
      </c>
      <c r="D21" s="13">
        <f>'Data Sheet'!E25</f>
        <v>24878.97</v>
      </c>
      <c r="E21" s="13">
        <f>'Data Sheet'!F25</f>
        <v>27332.880000000001</v>
      </c>
      <c r="F21" s="13">
        <f>'Data Sheet'!G25</f>
        <v>31758.99</v>
      </c>
      <c r="G21" s="13">
        <f>'Data Sheet'!H25</f>
        <v>33912.050000000003</v>
      </c>
      <c r="H21" s="13">
        <f>'Data Sheet'!I25</f>
        <v>124345.75</v>
      </c>
      <c r="I21" s="13">
        <f>'Data Sheet'!J25</f>
        <v>134548.5</v>
      </c>
      <c r="J21" s="13">
        <f>'Data Sheet'!K25</f>
        <v>146847.66</v>
      </c>
      <c r="M21" s="95"/>
    </row>
    <row r="22" spans="2:13">
      <c r="B22" s="16" t="s">
        <v>55</v>
      </c>
      <c r="C22" s="15">
        <f>C21/C9</f>
        <v>0.18017227722056728</v>
      </c>
      <c r="D22" s="15">
        <f t="shared" ref="D22:J22" si="5">D21/D9</f>
        <v>0.20361007089901254</v>
      </c>
      <c r="E22" s="15">
        <f t="shared" si="5"/>
        <v>0.21262053450577353</v>
      </c>
      <c r="F22" s="15">
        <f t="shared" si="5"/>
        <v>0.23363122507060471</v>
      </c>
      <c r="G22" s="15">
        <f t="shared" si="5"/>
        <v>0.19860173155482991</v>
      </c>
      <c r="H22" s="15">
        <f t="shared" si="5"/>
        <v>0.43837891631002285</v>
      </c>
      <c r="I22" s="15">
        <f t="shared" si="5"/>
        <v>0.40000454265146895</v>
      </c>
      <c r="J22" s="15">
        <f t="shared" si="5"/>
        <v>0.42123143529476559</v>
      </c>
      <c r="K22" s="15"/>
      <c r="M22" s="95"/>
    </row>
    <row r="24" spans="2:13">
      <c r="B24" t="s">
        <v>37</v>
      </c>
      <c r="C24" s="13">
        <f>C15-C18+C21</f>
        <v>89251.520000000004</v>
      </c>
      <c r="D24" s="13">
        <f t="shared" ref="D24:J24" si="6">D15-D18+D21</f>
        <v>101609.05</v>
      </c>
      <c r="E24" s="13">
        <f t="shared" si="6"/>
        <v>103428.75</v>
      </c>
      <c r="F24" s="13">
        <f t="shared" si="6"/>
        <v>111138.44000000002</v>
      </c>
      <c r="G24" s="13">
        <f t="shared" si="6"/>
        <v>141623.79999999999</v>
      </c>
      <c r="H24" s="13">
        <f t="shared" si="6"/>
        <v>233799.23</v>
      </c>
      <c r="I24" s="13">
        <f t="shared" si="6"/>
        <v>283941.48</v>
      </c>
      <c r="J24" s="13">
        <f t="shared" si="6"/>
        <v>291827.58</v>
      </c>
      <c r="M24" s="95"/>
    </row>
    <row r="25" spans="2:13">
      <c r="B25" s="16" t="s">
        <v>56</v>
      </c>
      <c r="C25" s="15">
        <f>C24/C9</f>
        <v>0.84871521444219578</v>
      </c>
      <c r="D25" s="15">
        <f t="shared" ref="D25:H25" si="7">D24/D9</f>
        <v>0.83157083570908719</v>
      </c>
      <c r="E25" s="15">
        <f t="shared" si="7"/>
        <v>0.80456490893985644</v>
      </c>
      <c r="F25" s="15">
        <f t="shared" si="7"/>
        <v>0.81757668898273839</v>
      </c>
      <c r="G25" s="15">
        <f t="shared" si="7"/>
        <v>0.82940228943325212</v>
      </c>
      <c r="H25" s="15">
        <f t="shared" si="7"/>
        <v>0.82425537729691434</v>
      </c>
      <c r="I25" s="15">
        <f>I24/I9</f>
        <v>0.8441408254063123</v>
      </c>
      <c r="J25" s="15">
        <f t="shared" ref="J25" si="8">J24/J9</f>
        <v>0.83710527210306263</v>
      </c>
      <c r="M25" s="95"/>
    </row>
    <row r="27" spans="2:13">
      <c r="B27" t="s">
        <v>57</v>
      </c>
      <c r="C27" s="12">
        <f>IFERROR('Data Sheet'!D27,0)</f>
        <v>53712.69</v>
      </c>
      <c r="D27" s="12">
        <f>IFERROR('Data Sheet'!E27,0)</f>
        <v>62137.42</v>
      </c>
      <c r="E27" s="12">
        <f>IFERROR('Data Sheet'!F27,0)</f>
        <v>59247.59</v>
      </c>
      <c r="F27" s="12">
        <f>IFERROR('Data Sheet'!G27,0)</f>
        <v>58584.33</v>
      </c>
      <c r="G27" s="12">
        <f>IFERROR('Data Sheet'!H27,0)</f>
        <v>77779.94</v>
      </c>
      <c r="H27" s="12">
        <f>IFERROR('Data Sheet'!I27,0)</f>
        <v>154138.54999999999</v>
      </c>
      <c r="I27" s="12">
        <f>IFERROR('Data Sheet'!J27,0)</f>
        <v>183894.2</v>
      </c>
      <c r="J27" s="12">
        <f>IFERROR('Data Sheet'!K27,0)</f>
        <v>185491.23</v>
      </c>
      <c r="M27" s="95"/>
    </row>
    <row r="28" spans="2:13">
      <c r="B28" s="16" t="s">
        <v>58</v>
      </c>
      <c r="C28" s="15">
        <f>C27/C9</f>
        <v>0.51076751647050034</v>
      </c>
      <c r="D28" s="15">
        <f t="shared" ref="D28:J28" si="9">D27/D9</f>
        <v>0.50853409492763235</v>
      </c>
      <c r="E28" s="15">
        <f t="shared" si="9"/>
        <v>0.46088279954322126</v>
      </c>
      <c r="F28" s="15">
        <f t="shared" si="9"/>
        <v>0.43096864188189171</v>
      </c>
      <c r="G28" s="15">
        <f t="shared" si="9"/>
        <v>0.45550861019109068</v>
      </c>
      <c r="H28" s="15">
        <f t="shared" si="9"/>
        <v>0.54341294745174862</v>
      </c>
      <c r="I28" s="15">
        <f t="shared" si="9"/>
        <v>0.54670632052574175</v>
      </c>
      <c r="J28" s="15">
        <f t="shared" si="9"/>
        <v>0.53208023231348378</v>
      </c>
      <c r="M28" s="95"/>
    </row>
    <row r="30" spans="2:13">
      <c r="B30" t="s">
        <v>59</v>
      </c>
      <c r="C30" s="12">
        <f>IFERROR('Data Sheet'!D26,0)</f>
        <v>1220.67</v>
      </c>
      <c r="D30" s="12">
        <f>IFERROR('Data Sheet'!E26,0)</f>
        <v>1276.77</v>
      </c>
      <c r="E30" s="12">
        <f>IFERROR('Data Sheet'!F26,0)</f>
        <v>1385.01</v>
      </c>
      <c r="F30" s="12">
        <f>IFERROR('Data Sheet'!G26,0)</f>
        <v>1680.73</v>
      </c>
      <c r="G30" s="12">
        <f>IFERROR('Data Sheet'!H26,0)</f>
        <v>2345.4699999999998</v>
      </c>
      <c r="H30" s="12">
        <f>IFERROR('Data Sheet'!I26,0)</f>
        <v>3092.08</v>
      </c>
      <c r="I30" s="12">
        <f>IFERROR('Data Sheet'!J26,0)</f>
        <v>3805.23</v>
      </c>
      <c r="J30" s="12">
        <f>IFERROR('Data Sheet'!K26,0)</f>
        <v>4194.8999999999996</v>
      </c>
      <c r="M30" s="95"/>
    </row>
    <row r="31" spans="2:13">
      <c r="B31" s="16" t="s">
        <v>60</v>
      </c>
      <c r="C31" s="15">
        <f>C30/C9</f>
        <v>1.1607658903883713E-2</v>
      </c>
      <c r="D31" s="15">
        <f t="shared" ref="D31:J31" si="10">D30/D9</f>
        <v>1.0449115466666515E-2</v>
      </c>
      <c r="E31" s="15">
        <f t="shared" si="10"/>
        <v>1.0773894536391387E-2</v>
      </c>
      <c r="F31" s="15">
        <f t="shared" si="10"/>
        <v>1.2364089944702821E-2</v>
      </c>
      <c r="G31" s="15">
        <f t="shared" si="10"/>
        <v>1.3735955311162458E-2</v>
      </c>
      <c r="H31" s="15">
        <f t="shared" si="10"/>
        <v>1.090107767691212E-2</v>
      </c>
      <c r="I31" s="15">
        <f t="shared" si="10"/>
        <v>1.1312718356827831E-2</v>
      </c>
      <c r="J31" s="15">
        <f t="shared" si="10"/>
        <v>1.2033039872191439E-2</v>
      </c>
      <c r="M31" s="95"/>
    </row>
    <row r="33" spans="2:20">
      <c r="B33" t="s">
        <v>61</v>
      </c>
      <c r="C33" s="13">
        <f>C24-SUM(C27,C30)</f>
        <v>34318.160000000003</v>
      </c>
      <c r="D33" s="13">
        <f t="shared" ref="D33:J33" si="11">D24-SUM(D27,D30)</f>
        <v>38194.860000000008</v>
      </c>
      <c r="E33" s="13">
        <f t="shared" si="11"/>
        <v>42796.15</v>
      </c>
      <c r="F33" s="13">
        <f t="shared" si="11"/>
        <v>50873.380000000012</v>
      </c>
      <c r="G33" s="13">
        <f t="shared" si="11"/>
        <v>61498.389999999985</v>
      </c>
      <c r="H33" s="13">
        <f t="shared" si="11"/>
        <v>76568.600000000035</v>
      </c>
      <c r="I33" s="13">
        <f t="shared" si="11"/>
        <v>96242.049999999959</v>
      </c>
      <c r="J33" s="13">
        <f t="shared" si="11"/>
        <v>102141.45000000001</v>
      </c>
      <c r="M33" s="95"/>
    </row>
    <row r="34" spans="2:20">
      <c r="B34" s="16" t="s">
        <v>62</v>
      </c>
      <c r="C34" s="15">
        <f>C33/C9</f>
        <v>0.32634003906781184</v>
      </c>
      <c r="D34" s="15">
        <f t="shared" ref="D34:J34" si="12">D33/D9</f>
        <v>0.31258762531478829</v>
      </c>
      <c r="E34" s="15">
        <f t="shared" si="12"/>
        <v>0.3329082148602438</v>
      </c>
      <c r="F34" s="15">
        <f t="shared" si="12"/>
        <v>0.37424395715614389</v>
      </c>
      <c r="G34" s="15">
        <f t="shared" si="12"/>
        <v>0.36015772393099893</v>
      </c>
      <c r="H34" s="15">
        <f t="shared" si="12"/>
        <v>0.26994135216825366</v>
      </c>
      <c r="I34" s="15">
        <f t="shared" si="12"/>
        <v>0.2861217865237427</v>
      </c>
      <c r="J34" s="15">
        <f t="shared" si="12"/>
        <v>0.29299199991738745</v>
      </c>
      <c r="M34" s="95"/>
    </row>
    <row r="36" spans="2:20">
      <c r="B36" t="s">
        <v>63</v>
      </c>
      <c r="C36" s="13">
        <f>'Data Sheet'!D29</f>
        <v>11872.55</v>
      </c>
      <c r="D36" s="13">
        <f>'Data Sheet'!E29</f>
        <v>10898.59</v>
      </c>
      <c r="E36" s="13">
        <f>'Data Sheet'!F29</f>
        <v>10939.38</v>
      </c>
      <c r="F36" s="13">
        <f>'Data Sheet'!G29</f>
        <v>12722.48</v>
      </c>
      <c r="G36" s="13">
        <f>'Data Sheet'!H29</f>
        <v>15349.69</v>
      </c>
      <c r="H36" s="13">
        <f>'Data Sheet'!I29</f>
        <v>11122.1</v>
      </c>
      <c r="I36" s="13">
        <f>'Data Sheet'!J29</f>
        <v>22801.88</v>
      </c>
      <c r="J36" s="13">
        <f>'Data Sheet'!K29</f>
        <v>22921.99</v>
      </c>
      <c r="M36" s="95"/>
    </row>
    <row r="37" spans="2:20">
      <c r="B37" s="16" t="s">
        <v>64</v>
      </c>
      <c r="C37" s="15">
        <f>C36/C33</f>
        <v>0.34595531928285195</v>
      </c>
      <c r="D37" s="15">
        <f t="shared" ref="D37:J37" si="13">D36/D33</f>
        <v>0.28534179729942716</v>
      </c>
      <c r="E37" s="15">
        <f t="shared" si="13"/>
        <v>0.25561598414810677</v>
      </c>
      <c r="F37" s="15">
        <f t="shared" si="13"/>
        <v>0.25008128022946374</v>
      </c>
      <c r="G37" s="15">
        <f t="shared" si="13"/>
        <v>0.24959498939728347</v>
      </c>
      <c r="H37" s="15">
        <f t="shared" si="13"/>
        <v>0.14525667179496549</v>
      </c>
      <c r="I37" s="15">
        <f t="shared" si="13"/>
        <v>0.23692221851051604</v>
      </c>
      <c r="J37" s="15">
        <f t="shared" si="13"/>
        <v>0.22441418248908743</v>
      </c>
      <c r="M37" s="95"/>
    </row>
    <row r="39" spans="2:20">
      <c r="B39" t="s">
        <v>65</v>
      </c>
      <c r="C39" s="13">
        <f>C33-C36</f>
        <v>22445.610000000004</v>
      </c>
      <c r="D39" s="13">
        <f t="shared" ref="D39:J39" si="14">D33-D36</f>
        <v>27296.270000000008</v>
      </c>
      <c r="E39" s="13">
        <f t="shared" si="14"/>
        <v>31856.770000000004</v>
      </c>
      <c r="F39" s="13">
        <f t="shared" si="14"/>
        <v>38150.900000000009</v>
      </c>
      <c r="G39" s="13">
        <f t="shared" si="14"/>
        <v>46148.699999999983</v>
      </c>
      <c r="H39" s="13">
        <f t="shared" si="14"/>
        <v>65446.500000000036</v>
      </c>
      <c r="I39" s="13">
        <f t="shared" si="14"/>
        <v>73440.169999999955</v>
      </c>
      <c r="J39" s="13">
        <f t="shared" si="14"/>
        <v>79219.460000000006</v>
      </c>
      <c r="M39" s="95"/>
    </row>
    <row r="40" spans="2:20">
      <c r="B40" s="16" t="s">
        <v>66</v>
      </c>
      <c r="C40" s="15">
        <f>C39/C9</f>
        <v>0.21344096665732862</v>
      </c>
      <c r="D40" s="15">
        <f t="shared" ref="D40:J40" si="15">D39/D9</f>
        <v>0.2233933104939067</v>
      </c>
      <c r="E40" s="15">
        <f t="shared" si="15"/>
        <v>0.24781155388775322</v>
      </c>
      <c r="F40" s="15">
        <f t="shared" si="15"/>
        <v>0.2806525492323948</v>
      </c>
      <c r="G40" s="15">
        <f t="shared" si="15"/>
        <v>0.27026416064509151</v>
      </c>
      <c r="H40" s="15">
        <f t="shared" si="15"/>
        <v>0.23073056977246045</v>
      </c>
      <c r="I40" s="15">
        <f t="shared" si="15"/>
        <v>0.21833317809634528</v>
      </c>
      <c r="J40" s="15">
        <f t="shared" si="15"/>
        <v>0.22724043978008415</v>
      </c>
      <c r="M40" s="95"/>
    </row>
    <row r="42" spans="2:20">
      <c r="B42" t="s">
        <v>67</v>
      </c>
      <c r="C42">
        <f>IFERROR('Data Sheet'!B93,0)</f>
        <v>1025.02</v>
      </c>
      <c r="D42">
        <f>IFERROR('Data Sheet'!C93,0)</f>
        <v>1038.04</v>
      </c>
      <c r="E42">
        <f>IFERROR('Data Sheet'!D93,0)</f>
        <v>1089.32</v>
      </c>
      <c r="F42">
        <f>IFERROR('Data Sheet'!E93,0)</f>
        <v>1096.6600000000001</v>
      </c>
      <c r="G42">
        <f>IFERROR('Data Sheet'!F93,0)</f>
        <v>1102.56</v>
      </c>
      <c r="H42">
        <f>IFERROR('Data Sheet'!G93,0)</f>
        <v>1109.1099999999999</v>
      </c>
      <c r="I42">
        <f>IFERROR('Data Sheet'!H93,0)</f>
        <v>1115.95</v>
      </c>
      <c r="J42">
        <f>IFERROR('Data Sheet'!I93,0)</f>
        <v>1519.38</v>
      </c>
      <c r="M42" s="95"/>
    </row>
    <row r="43" spans="2:20">
      <c r="M43" s="95"/>
    </row>
    <row r="44" spans="2:20">
      <c r="B44" t="s">
        <v>68</v>
      </c>
      <c r="C44" s="13">
        <f>IFERROR(C39/C42,0)</f>
        <v>21.897728824803423</v>
      </c>
      <c r="D44" s="13">
        <f t="shared" ref="D44:J44" si="16">IFERROR(D39/D42,0)</f>
        <v>26.29597125351625</v>
      </c>
      <c r="E44" s="13">
        <f t="shared" si="16"/>
        <v>29.244638857268761</v>
      </c>
      <c r="F44" s="13">
        <f t="shared" si="16"/>
        <v>34.788266190068029</v>
      </c>
      <c r="G44" s="13">
        <f t="shared" si="16"/>
        <v>41.855953417501077</v>
      </c>
      <c r="H44" s="13">
        <f>IFERROR(H39/H42,0)</f>
        <v>59.008123630658858</v>
      </c>
      <c r="I44" s="13">
        <f t="shared" si="16"/>
        <v>65.809552399300998</v>
      </c>
      <c r="J44" s="13">
        <f t="shared" si="16"/>
        <v>52.139333149047637</v>
      </c>
      <c r="M44" s="95"/>
    </row>
    <row r="45" spans="2:20">
      <c r="B45" s="16" t="s">
        <v>69</v>
      </c>
      <c r="C45" s="15"/>
      <c r="D45" s="15">
        <f>IFERROR(D44/C44-1,0)</f>
        <v>0.20085381748498787</v>
      </c>
      <c r="E45" s="15">
        <f t="shared" ref="E45:J45" si="17">IFERROR(E44/D44-1,0)</f>
        <v>0.11213381606348616</v>
      </c>
      <c r="F45" s="15">
        <f t="shared" si="17"/>
        <v>0.1895604647352791</v>
      </c>
      <c r="G45" s="15">
        <f t="shared" si="17"/>
        <v>0.20316296273054446</v>
      </c>
      <c r="H45" s="15">
        <f t="shared" si="17"/>
        <v>0.40979045542386339</v>
      </c>
      <c r="I45" s="15">
        <f t="shared" si="17"/>
        <v>0.11526258335569795</v>
      </c>
      <c r="J45" s="15">
        <f t="shared" si="17"/>
        <v>-0.20772393599198158</v>
      </c>
      <c r="M45" s="95"/>
    </row>
    <row r="47" spans="2:20" ht="14.45" customHeight="1">
      <c r="B47" t="s">
        <v>70</v>
      </c>
      <c r="C47" s="13">
        <f>IFERROR('Data Sheet'!D31/C42,0)</f>
        <v>3.9852393124036603</v>
      </c>
      <c r="D47" s="13">
        <f>IFERROR('Data Sheet'!E31/D42,0)</f>
        <v>1.3205849485568957</v>
      </c>
      <c r="E47" s="13">
        <f>IFERROR('Data Sheet'!F31/E42,0)</f>
        <v>3.2895017074872399</v>
      </c>
      <c r="F47" s="13">
        <f>IFERROR('Data Sheet'!G31/F42,0)</f>
        <v>7.8379078292269249</v>
      </c>
      <c r="G47" s="13">
        <f>IFERROR('Data Sheet'!H31/G42,0)</f>
        <v>9.6152862429255563</v>
      </c>
      <c r="H47" s="13">
        <f>IFERROR('Data Sheet'!I31/H42,0)</f>
        <v>13.356619271307625</v>
      </c>
      <c r="I47" s="13">
        <f>IFERROR('Data Sheet'!J31/I42,0)</f>
        <v>15.085657959586003</v>
      </c>
      <c r="J47" s="13">
        <f>IFERROR('Data Sheet'!K31/J42,0)</f>
        <v>15.703622530242598</v>
      </c>
      <c r="K47" s="13"/>
      <c r="M47" s="89" t="s">
        <v>71</v>
      </c>
      <c r="N47" s="89"/>
      <c r="O47" s="89"/>
      <c r="P47" s="89"/>
      <c r="Q47" s="89"/>
      <c r="R47" s="89"/>
      <c r="S47" s="89"/>
      <c r="T47" s="89"/>
    </row>
    <row r="48" spans="2:20" ht="14.45" customHeight="1">
      <c r="B48" t="s">
        <v>72</v>
      </c>
      <c r="C48" s="15">
        <f>IFERROR(C47/C44,0)</f>
        <v>0.181993271735542</v>
      </c>
      <c r="D48" s="15">
        <f t="shared" ref="D48:J48" si="18">IFERROR(D47/D44,0)</f>
        <v>5.0220048380236554E-2</v>
      </c>
      <c r="E48" s="15">
        <f t="shared" si="18"/>
        <v>0.1124822133568469</v>
      </c>
      <c r="F48" s="15">
        <f t="shared" si="18"/>
        <v>0.22530320385626548</v>
      </c>
      <c r="G48" s="15">
        <f t="shared" si="18"/>
        <v>0.22972326414395214</v>
      </c>
      <c r="H48" s="15">
        <f t="shared" si="18"/>
        <v>0.2263522113482003</v>
      </c>
      <c r="I48" s="15">
        <f t="shared" si="18"/>
        <v>0.22923204017637774</v>
      </c>
      <c r="J48" s="15">
        <f t="shared" si="18"/>
        <v>0.3011857187615265</v>
      </c>
      <c r="M48" s="89"/>
      <c r="N48" s="89"/>
      <c r="O48" s="89"/>
      <c r="P48" s="89"/>
      <c r="Q48" s="89"/>
      <c r="R48" s="89"/>
      <c r="S48" s="89"/>
      <c r="T48" s="89"/>
    </row>
    <row r="49" spans="1:20" ht="14.45" customHeight="1">
      <c r="M49" s="89"/>
      <c r="N49" s="89"/>
      <c r="O49" s="89"/>
      <c r="P49" s="89"/>
      <c r="Q49" s="89"/>
      <c r="R49" s="89"/>
      <c r="S49" s="89"/>
      <c r="T49" s="89"/>
    </row>
    <row r="50" spans="1:20">
      <c r="B50" t="s">
        <v>73</v>
      </c>
      <c r="C50" s="19">
        <f>IFERROR(IF(C44&gt;C47,1-C48,0),0)</f>
        <v>0.81800672826445797</v>
      </c>
      <c r="D50" s="19">
        <f t="shared" ref="D50:J50" si="19">IFERROR(IF(D44&gt;D47,1-D48,0),0)</f>
        <v>0.94977995161976347</v>
      </c>
      <c r="E50" s="19">
        <f t="shared" si="19"/>
        <v>0.88751778664315306</v>
      </c>
      <c r="F50" s="19">
        <f t="shared" si="19"/>
        <v>0.77469679614373455</v>
      </c>
      <c r="G50" s="19">
        <f t="shared" si="19"/>
        <v>0.77027673585604783</v>
      </c>
      <c r="H50" s="19">
        <f t="shared" si="19"/>
        <v>0.77364778865179973</v>
      </c>
      <c r="I50" s="19">
        <f t="shared" si="19"/>
        <v>0.77076795982362223</v>
      </c>
      <c r="J50" s="19">
        <f t="shared" si="19"/>
        <v>0.69881428123847344</v>
      </c>
    </row>
    <row r="53" spans="1:20">
      <c r="B53" s="22" t="s">
        <v>74</v>
      </c>
    </row>
    <row r="54" spans="1:20">
      <c r="B54" s="22" t="s">
        <v>75</v>
      </c>
    </row>
    <row r="55" spans="1:20">
      <c r="B55" s="22" t="s">
        <v>76</v>
      </c>
    </row>
    <row r="56" spans="1:20">
      <c r="B56" s="22" t="s">
        <v>77</v>
      </c>
    </row>
    <row r="57" spans="1:20">
      <c r="B57" s="22" t="s">
        <v>78</v>
      </c>
    </row>
    <row r="58" spans="1:20">
      <c r="B58" s="22" t="s">
        <v>79</v>
      </c>
    </row>
    <row r="59" spans="1:20">
      <c r="B59" s="53" t="s">
        <v>80</v>
      </c>
      <c r="C59" s="54"/>
      <c r="D59" s="54"/>
      <c r="E59" s="54"/>
      <c r="F59" s="54"/>
      <c r="G59" s="54"/>
      <c r="H59" s="54"/>
      <c r="I59" s="54"/>
      <c r="J59" s="54"/>
      <c r="K59" s="54"/>
      <c r="L59" s="54"/>
    </row>
    <row r="60" spans="1:20">
      <c r="B60" s="93" t="s">
        <v>81</v>
      </c>
      <c r="C60" s="93"/>
      <c r="D60" s="93"/>
      <c r="E60" s="93"/>
      <c r="F60" s="93"/>
      <c r="G60" s="93"/>
      <c r="H60" s="93"/>
      <c r="I60" s="93"/>
      <c r="J60" s="93"/>
      <c r="K60" s="93"/>
      <c r="L60" s="93"/>
    </row>
    <row r="61" spans="1:20">
      <c r="B61" s="93"/>
      <c r="C61" s="93"/>
      <c r="D61" s="93"/>
      <c r="E61" s="93"/>
      <c r="F61" s="93"/>
      <c r="G61" s="93"/>
      <c r="H61" s="93"/>
      <c r="I61" s="93"/>
      <c r="J61" s="93"/>
      <c r="K61" s="93"/>
      <c r="L61" s="93"/>
    </row>
    <row r="62" spans="1:20">
      <c r="B62" s="22"/>
    </row>
    <row r="63" spans="1:20">
      <c r="A63" s="52" t="s">
        <v>43</v>
      </c>
      <c r="B63" s="51" t="s">
        <v>82</v>
      </c>
      <c r="C63" s="52"/>
      <c r="D63" s="52"/>
      <c r="E63" s="52"/>
      <c r="F63" s="52"/>
      <c r="G63" s="52"/>
      <c r="H63" s="52"/>
      <c r="I63" s="52"/>
      <c r="J63" s="52"/>
      <c r="K63" s="52"/>
    </row>
    <row r="65" spans="2:10">
      <c r="B65" s="3" t="s">
        <v>83</v>
      </c>
      <c r="C65" s="12">
        <f>IFERROR('Data Sheet'!D57,0)</f>
        <v>544.66</v>
      </c>
      <c r="D65" s="12">
        <f>IFERROR('Data Sheet'!E57,0)</f>
        <v>548.33000000000004</v>
      </c>
      <c r="E65" s="12">
        <f>IFERROR('Data Sheet'!F57,0)</f>
        <v>551.28</v>
      </c>
      <c r="F65" s="12">
        <f>IFERROR('Data Sheet'!G57,0)</f>
        <v>554.54999999999995</v>
      </c>
      <c r="G65" s="12">
        <f>IFERROR('Data Sheet'!H57,0)</f>
        <v>557.97</v>
      </c>
      <c r="H65" s="12">
        <f>IFERROR('Data Sheet'!I57,0)</f>
        <v>759.69</v>
      </c>
      <c r="I65" s="12">
        <f>IFERROR('Data Sheet'!J57,0)</f>
        <v>765.22</v>
      </c>
      <c r="J65" s="12">
        <f>IFERROR('Data Sheet'!K57,0)</f>
        <v>1539.34</v>
      </c>
    </row>
    <row r="66" spans="2:10">
      <c r="B66" s="3" t="s">
        <v>84</v>
      </c>
      <c r="C66" s="12">
        <f>IFERROR('Data Sheet'!D58,0)</f>
        <v>153128</v>
      </c>
      <c r="D66" s="12">
        <f>IFERROR('Data Sheet'!E58,0)</f>
        <v>175810.38</v>
      </c>
      <c r="E66" s="12">
        <f>IFERROR('Data Sheet'!F58,0)</f>
        <v>209258.9</v>
      </c>
      <c r="F66" s="12">
        <f>IFERROR('Data Sheet'!G58,0)</f>
        <v>246771.62</v>
      </c>
      <c r="G66" s="12">
        <f>IFERROR('Data Sheet'!H58,0)</f>
        <v>288879.53000000003</v>
      </c>
      <c r="H66" s="12">
        <f>IFERROR('Data Sheet'!I58,0)</f>
        <v>455635.56</v>
      </c>
      <c r="I66" s="12">
        <f>IFERROR('Data Sheet'!J58,0)</f>
        <v>521024.17</v>
      </c>
      <c r="J66" s="12">
        <f>IFERROR('Data Sheet'!K58,0)</f>
        <v>584520.13</v>
      </c>
    </row>
    <row r="67" spans="2:10">
      <c r="B67" s="3" t="s">
        <v>85</v>
      </c>
      <c r="C67" s="12">
        <f>IFERROR('Data Sheet'!D59,0)</f>
        <v>1080235.46</v>
      </c>
      <c r="D67" s="12">
        <f>IFERROR('Data Sheet'!E59,0)</f>
        <v>1333041.45</v>
      </c>
      <c r="E67" s="12">
        <f>IFERROR('Data Sheet'!F59,0)</f>
        <v>1511417.62</v>
      </c>
      <c r="F67" s="12">
        <f>IFERROR('Data Sheet'!G59,0)</f>
        <v>1784969.53</v>
      </c>
      <c r="G67" s="12">
        <f>IFERROR('Data Sheet'!H59,0)</f>
        <v>2139211.91</v>
      </c>
      <c r="H67" s="12">
        <f>IFERROR('Data Sheet'!I59,0)</f>
        <v>3107502.74</v>
      </c>
      <c r="I67" s="12">
        <f>IFERROR('Data Sheet'!J59,0)</f>
        <v>3345503.8</v>
      </c>
      <c r="J67" s="12">
        <f>IFERROR('Data Sheet'!K59,0)</f>
        <v>3688122.84</v>
      </c>
    </row>
    <row r="68" spans="2:10">
      <c r="B68" s="3"/>
      <c r="C68" s="12"/>
      <c r="D68" s="15">
        <f t="shared" ref="D68:I68" si="20">(D67-C67)/D67</f>
        <v>0.18964600838180989</v>
      </c>
      <c r="E68" s="15">
        <f t="shared" si="20"/>
        <v>0.11801911506099826</v>
      </c>
      <c r="F68" s="15">
        <f t="shared" si="20"/>
        <v>0.15325298578065918</v>
      </c>
      <c r="G68" s="15">
        <f t="shared" si="20"/>
        <v>0.16559480542533073</v>
      </c>
      <c r="H68" s="15">
        <f t="shared" si="20"/>
        <v>0.31159773973361005</v>
      </c>
      <c r="I68" s="15">
        <f t="shared" si="20"/>
        <v>7.1140573805356197E-2</v>
      </c>
      <c r="J68" s="15">
        <f>(J67-I67)/J67</f>
        <v>9.28979469675148E-2</v>
      </c>
    </row>
    <row r="69" spans="2:10">
      <c r="B69" s="3" t="s">
        <v>86</v>
      </c>
      <c r="C69" s="12">
        <f>IFERROR('Data Sheet'!D60,0)</f>
        <v>58897.59</v>
      </c>
      <c r="D69" s="12">
        <f>IFERROR('Data Sheet'!E60,0)</f>
        <v>71430.27</v>
      </c>
      <c r="E69" s="12">
        <f>IFERROR('Data Sheet'!F60,0)</f>
        <v>78278.83</v>
      </c>
      <c r="F69" s="12">
        <f>IFERROR('Data Sheet'!G60,0)</f>
        <v>90638.6</v>
      </c>
      <c r="G69" s="12">
        <f>IFERROR('Data Sheet'!H60,0)</f>
        <v>101783.03</v>
      </c>
      <c r="H69" s="12">
        <f>IFERROR('Data Sheet'!I60,0)</f>
        <v>466296.27</v>
      </c>
      <c r="I69" s="12">
        <f>IFERROR('Data Sheet'!J60,0)</f>
        <v>524816.64000000001</v>
      </c>
      <c r="J69" s="12">
        <f>IFERROR('Data Sheet'!K60,0)</f>
        <v>633519.03</v>
      </c>
    </row>
    <row r="70" spans="2:10">
      <c r="B70" s="1" t="s">
        <v>87</v>
      </c>
      <c r="C70" s="21">
        <f>IFERROR(SUM(C65:C69),0)</f>
        <v>1292805.71</v>
      </c>
      <c r="D70" s="21">
        <f>IFERROR(SUM(D65:D67,D69),0)</f>
        <v>1580830.43</v>
      </c>
      <c r="E70" s="21">
        <f t="shared" ref="E70:J70" si="21">IFERROR(SUM(E65:E67,E69),0)</f>
        <v>1799506.6300000001</v>
      </c>
      <c r="F70" s="21">
        <f t="shared" si="21"/>
        <v>2122934.2999999998</v>
      </c>
      <c r="G70" s="21">
        <f t="shared" si="21"/>
        <v>2530432.44</v>
      </c>
      <c r="H70" s="21">
        <f t="shared" si="21"/>
        <v>4030194.2600000002</v>
      </c>
      <c r="I70" s="21">
        <f t="shared" si="21"/>
        <v>4392109.83</v>
      </c>
      <c r="J70" s="21">
        <f t="shared" si="21"/>
        <v>4907701.34</v>
      </c>
    </row>
    <row r="71" spans="2:10">
      <c r="C71" s="12"/>
      <c r="D71" s="12"/>
      <c r="E71" s="12"/>
      <c r="F71" s="12"/>
      <c r="G71" s="12"/>
      <c r="H71" s="12"/>
      <c r="I71" s="12"/>
      <c r="J71" s="12"/>
    </row>
    <row r="72" spans="2:10">
      <c r="B72" s="2" t="s">
        <v>88</v>
      </c>
      <c r="C72" s="12">
        <f>IFERROR('Data Sheet'!D62,0)</f>
        <v>4368.63</v>
      </c>
      <c r="D72" s="12">
        <f>IFERROR('Data Sheet'!E62,0)</f>
        <v>4775.6499999999996</v>
      </c>
      <c r="E72" s="12">
        <f>IFERROR('Data Sheet'!F62,0)</f>
        <v>5248.35</v>
      </c>
      <c r="F72" s="12">
        <f>IFERROR('Data Sheet'!G62,0)</f>
        <v>6432.07</v>
      </c>
      <c r="G72" s="12">
        <f>IFERROR('Data Sheet'!H62,0)</f>
        <v>8431.35</v>
      </c>
      <c r="H72" s="12">
        <f>IFERROR('Data Sheet'!I62,0)</f>
        <v>12603.76</v>
      </c>
      <c r="I72" s="12">
        <f>IFERROR('Data Sheet'!J62,0)</f>
        <v>15257.94</v>
      </c>
      <c r="J72" s="12">
        <f>IFERROR('Data Sheet'!K62,0)</f>
        <v>16491.59</v>
      </c>
    </row>
    <row r="73" spans="2:10">
      <c r="B73" s="3" t="s">
        <v>89</v>
      </c>
      <c r="C73" s="12">
        <f>IFERROR('Data Sheet'!D63,0)</f>
        <v>0</v>
      </c>
      <c r="D73" s="12">
        <f>IFERROR('Data Sheet'!E63,0)</f>
        <v>0</v>
      </c>
      <c r="E73" s="12">
        <f>IFERROR('Data Sheet'!F63,0)</f>
        <v>0</v>
      </c>
      <c r="F73" s="12">
        <f>IFERROR('Data Sheet'!G63,0)</f>
        <v>0</v>
      </c>
      <c r="G73" s="12">
        <f>IFERROR('Data Sheet'!H63,0)</f>
        <v>0</v>
      </c>
      <c r="H73" s="12">
        <f>IFERROR('Data Sheet'!I63,0)</f>
        <v>0</v>
      </c>
      <c r="I73" s="12">
        <f>IFERROR('Data Sheet'!J63,0)</f>
        <v>0</v>
      </c>
      <c r="J73" s="12">
        <f>IFERROR('Data Sheet'!K63,0)</f>
        <v>0</v>
      </c>
    </row>
    <row r="74" spans="2:10">
      <c r="B74" s="3" t="s">
        <v>90</v>
      </c>
      <c r="C74" s="12">
        <f>IFERROR('Data Sheet'!D64,0)</f>
        <v>289445.87</v>
      </c>
      <c r="D74" s="12">
        <f>IFERROR('Data Sheet'!E64,0)</f>
        <v>389304.95</v>
      </c>
      <c r="E74" s="12">
        <f>IFERROR('Data Sheet'!F64,0)</f>
        <v>438823.11</v>
      </c>
      <c r="F74" s="12">
        <f>IFERROR('Data Sheet'!G64,0)</f>
        <v>449263.86</v>
      </c>
      <c r="G74" s="12">
        <f>IFERROR('Data Sheet'!H64,0)</f>
        <v>511581.71</v>
      </c>
      <c r="H74" s="12">
        <f>IFERROR('Data Sheet'!I64,0)</f>
        <v>1005681.63</v>
      </c>
      <c r="I74" s="12">
        <f>IFERROR('Data Sheet'!J64,0)</f>
        <v>1186472.8899999999</v>
      </c>
      <c r="J74" s="12">
        <f>IFERROR('Data Sheet'!K64,0)</f>
        <v>1280216.29</v>
      </c>
    </row>
    <row r="75" spans="2:10">
      <c r="B75" s="3"/>
      <c r="C75" s="12"/>
      <c r="D75" s="15">
        <f>(D74-C74)/D74</f>
        <v>0.25650606292059736</v>
      </c>
      <c r="E75" s="15">
        <f t="shared" ref="E75:I75" si="22">(E74-D74)/E74</f>
        <v>0.11284309980848542</v>
      </c>
      <c r="F75" s="15">
        <f t="shared" si="22"/>
        <v>2.3239683690559933E-2</v>
      </c>
      <c r="G75" s="15">
        <f t="shared" si="22"/>
        <v>0.12181406954521504</v>
      </c>
      <c r="H75" s="15">
        <f t="shared" si="22"/>
        <v>0.49130848696122648</v>
      </c>
      <c r="I75" s="15">
        <f t="shared" si="22"/>
        <v>0.15237706779798391</v>
      </c>
      <c r="J75" s="15">
        <f>(J74-I74)/J74</f>
        <v>7.32246579990012E-2</v>
      </c>
    </row>
    <row r="76" spans="2:10">
      <c r="B76" s="3" t="s">
        <v>91</v>
      </c>
      <c r="C76" s="12">
        <f>IFERROR('Data Sheet'!D65-SUM('Data Sheet'!D67:D69),0)</f>
        <v>952186.62</v>
      </c>
      <c r="D76" s="12">
        <f>IFERROR('Data Sheet'!E65-SUM('Data Sheet'!E67:E69),0)</f>
        <v>1114538.83</v>
      </c>
      <c r="E76" s="12">
        <f>IFERROR('Data Sheet'!F65-SUM('Data Sheet'!F67:F69),0)</f>
        <v>1258064.8199999998</v>
      </c>
      <c r="F76" s="12">
        <f>IFERROR('Data Sheet'!G65-SUM('Data Sheet'!G67:G69),0)</f>
        <v>1537207.6600000001</v>
      </c>
      <c r="G76" s="12">
        <f>IFERROR('Data Sheet'!H65-SUM('Data Sheet'!H67:H69),0)</f>
        <v>1893230.0999999999</v>
      </c>
      <c r="H76" s="12">
        <f>IFERROR('Data Sheet'!I65-SUM('Data Sheet'!I67:I69),0)</f>
        <v>2833190.2</v>
      </c>
      <c r="I76" s="12">
        <f>IFERROR('Data Sheet'!J65-SUM('Data Sheet'!J67:J69),0)</f>
        <v>3045988.75</v>
      </c>
      <c r="J76" s="12">
        <f>IFERROR('Data Sheet'!K65-SUM('Data Sheet'!K67:K69),0)</f>
        <v>3410286.35</v>
      </c>
    </row>
    <row r="77" spans="2:10">
      <c r="B77" s="1" t="s">
        <v>92</v>
      </c>
      <c r="C77" s="21">
        <f>IFERROR(SUM(C72:C76),0)</f>
        <v>1246001.1200000001</v>
      </c>
      <c r="D77" s="21">
        <f>IFERROR(SUM(D72:D74,D76),0)</f>
        <v>1508619.4300000002</v>
      </c>
      <c r="E77" s="21">
        <f t="shared" ref="E77:J77" si="23">IFERROR(SUM(E72:E74,E76),0)</f>
        <v>1702136.2799999998</v>
      </c>
      <c r="F77" s="21">
        <f t="shared" si="23"/>
        <v>1992903.59</v>
      </c>
      <c r="G77" s="21">
        <f t="shared" si="23"/>
        <v>2413243.1599999997</v>
      </c>
      <c r="H77" s="21">
        <f t="shared" si="23"/>
        <v>3851475.5900000003</v>
      </c>
      <c r="I77" s="21">
        <f t="shared" si="23"/>
        <v>4247719.58</v>
      </c>
      <c r="J77" s="21">
        <f t="shared" si="23"/>
        <v>4706994.2300000004</v>
      </c>
    </row>
    <row r="78" spans="2:10">
      <c r="B78" s="1"/>
      <c r="C78" s="21"/>
      <c r="D78" s="21"/>
      <c r="E78" s="21"/>
      <c r="F78" s="21"/>
      <c r="G78" s="21"/>
      <c r="H78" s="21"/>
      <c r="I78" s="21"/>
      <c r="J78" s="21"/>
    </row>
    <row r="79" spans="2:10">
      <c r="B79" s="3" t="s">
        <v>93</v>
      </c>
      <c r="C79" s="12">
        <f>IFERROR('Data Sheet'!D67,0)</f>
        <v>0</v>
      </c>
      <c r="D79" s="12">
        <f>IFERROR('Data Sheet'!E67,0)</f>
        <v>0</v>
      </c>
      <c r="E79" s="12">
        <f>IFERROR('Data Sheet'!F67,0)</f>
        <v>0</v>
      </c>
      <c r="F79" s="12">
        <f>IFERROR('Data Sheet'!G67,0)</f>
        <v>0</v>
      </c>
      <c r="G79" s="12">
        <f>IFERROR('Data Sheet'!H67,0)</f>
        <v>0</v>
      </c>
      <c r="H79" s="12">
        <f>IFERROR('Data Sheet'!I67,0)</f>
        <v>0</v>
      </c>
      <c r="I79" s="12">
        <f>IFERROR('Data Sheet'!J67,0)</f>
        <v>0</v>
      </c>
      <c r="J79" s="12">
        <f>IFERROR('Data Sheet'!K67,0)</f>
        <v>0</v>
      </c>
    </row>
    <row r="80" spans="2:10">
      <c r="B80" s="3" t="s">
        <v>94</v>
      </c>
      <c r="C80" s="12">
        <f>IFERROR('Data Sheet'!D68,0)</f>
        <v>0</v>
      </c>
      <c r="D80" s="12">
        <f>IFERROR('Data Sheet'!E68,0)</f>
        <v>0</v>
      </c>
      <c r="E80" s="12">
        <f>IFERROR('Data Sheet'!F68,0)</f>
        <v>0</v>
      </c>
      <c r="F80" s="12">
        <f>IFERROR('Data Sheet'!G68,0)</f>
        <v>0</v>
      </c>
      <c r="G80" s="12">
        <f>IFERROR('Data Sheet'!H68,0)</f>
        <v>0</v>
      </c>
      <c r="H80" s="12">
        <f>IFERROR('Data Sheet'!I68,0)</f>
        <v>0</v>
      </c>
      <c r="I80" s="12">
        <f>IFERROR('Data Sheet'!J68,0)</f>
        <v>0</v>
      </c>
      <c r="J80" s="12">
        <f>IFERROR('Data Sheet'!K68,0)</f>
        <v>0</v>
      </c>
    </row>
    <row r="81" spans="1:11">
      <c r="B81" s="2" t="s">
        <v>95</v>
      </c>
      <c r="C81" s="12">
        <f>IFERROR('Data Sheet'!D69,0)</f>
        <v>46804.59</v>
      </c>
      <c r="D81" s="12">
        <f>IFERROR('Data Sheet'!E69,0)</f>
        <v>72211</v>
      </c>
      <c r="E81" s="12">
        <f>IFERROR('Data Sheet'!F69,0)</f>
        <v>97370.35</v>
      </c>
      <c r="F81" s="12">
        <f>IFERROR('Data Sheet'!G69,0)</f>
        <v>130030.71</v>
      </c>
      <c r="G81" s="12">
        <f>IFERROR('Data Sheet'!H69,0)</f>
        <v>117189.28</v>
      </c>
      <c r="H81" s="12">
        <f>IFERROR('Data Sheet'!I69,0)</f>
        <v>178718.67</v>
      </c>
      <c r="I81" s="12">
        <f>IFERROR('Data Sheet'!J69,0)</f>
        <v>144390.25</v>
      </c>
      <c r="J81" s="12">
        <f>IFERROR('Data Sheet'!K69,0)</f>
        <v>200707.11</v>
      </c>
    </row>
    <row r="82" spans="1:11">
      <c r="B82" s="1" t="s">
        <v>96</v>
      </c>
      <c r="C82" s="21">
        <f>IFERROR(SUM(C79:C81),0)</f>
        <v>46804.59</v>
      </c>
      <c r="D82" s="21">
        <f t="shared" ref="D82:J82" si="24">IFERROR(SUM(D79:D81),0)</f>
        <v>72211</v>
      </c>
      <c r="E82" s="21">
        <f t="shared" si="24"/>
        <v>97370.35</v>
      </c>
      <c r="F82" s="21">
        <f t="shared" si="24"/>
        <v>130030.71</v>
      </c>
      <c r="G82" s="21">
        <f t="shared" si="24"/>
        <v>117189.28</v>
      </c>
      <c r="H82" s="21">
        <f t="shared" si="24"/>
        <v>178718.67</v>
      </c>
      <c r="I82" s="21">
        <f t="shared" si="24"/>
        <v>144390.25</v>
      </c>
      <c r="J82" s="21">
        <f t="shared" si="24"/>
        <v>200707.11</v>
      </c>
    </row>
    <row r="83" spans="1:11">
      <c r="B83" s="2"/>
    </row>
    <row r="84" spans="1:11">
      <c r="B84" s="20" t="s">
        <v>97</v>
      </c>
      <c r="C84" s="21">
        <f>IFERROR(SUM(C82,C77),0)</f>
        <v>1292805.7100000002</v>
      </c>
      <c r="D84" s="21">
        <f t="shared" ref="D84:J84" si="25">IFERROR(SUM(D82,D77),0)</f>
        <v>1580830.4300000002</v>
      </c>
      <c r="E84" s="21">
        <f t="shared" si="25"/>
        <v>1799506.63</v>
      </c>
      <c r="F84" s="21">
        <f t="shared" si="25"/>
        <v>2122934.3000000003</v>
      </c>
      <c r="G84" s="21">
        <f t="shared" si="25"/>
        <v>2530432.4399999995</v>
      </c>
      <c r="H84" s="21">
        <f t="shared" si="25"/>
        <v>4030194.2600000002</v>
      </c>
      <c r="I84" s="21">
        <f t="shared" si="25"/>
        <v>4392109.83</v>
      </c>
      <c r="J84" s="21">
        <f t="shared" si="25"/>
        <v>4907701.3400000008</v>
      </c>
    </row>
    <row r="86" spans="1:11">
      <c r="B86" s="22" t="s">
        <v>98</v>
      </c>
      <c r="C86" t="b">
        <f t="shared" ref="C86:J86" si="26">C84=C70</f>
        <v>1</v>
      </c>
      <c r="D86" t="b">
        <f t="shared" si="26"/>
        <v>1</v>
      </c>
      <c r="E86" t="b">
        <f t="shared" si="26"/>
        <v>1</v>
      </c>
      <c r="F86" t="b">
        <f t="shared" si="26"/>
        <v>1</v>
      </c>
      <c r="G86" t="b">
        <f t="shared" si="26"/>
        <v>1</v>
      </c>
      <c r="H86" t="b">
        <f t="shared" si="26"/>
        <v>1</v>
      </c>
      <c r="I86" t="b">
        <f t="shared" si="26"/>
        <v>1</v>
      </c>
      <c r="J86" t="b">
        <f t="shared" si="26"/>
        <v>1</v>
      </c>
    </row>
    <row r="89" spans="1:11">
      <c r="A89" t="s">
        <v>43</v>
      </c>
      <c r="B89" s="17" t="s">
        <v>99</v>
      </c>
      <c r="C89" s="18"/>
      <c r="D89" s="18"/>
      <c r="E89" s="18"/>
      <c r="F89" s="18"/>
      <c r="G89" s="18"/>
      <c r="H89" s="18"/>
      <c r="I89" s="18"/>
      <c r="J89" s="18"/>
      <c r="K89" s="18"/>
    </row>
    <row r="90" spans="1:11" hidden="1">
      <c r="B90" s="22" t="s">
        <v>100</v>
      </c>
    </row>
    <row r="91" spans="1:11" hidden="1">
      <c r="B91" t="s">
        <v>101</v>
      </c>
      <c r="C91" s="13">
        <f>IFERROR('Cash Flow statement'!C6,0)</f>
        <v>19196</v>
      </c>
      <c r="D91" s="13">
        <f>IFERROR('Cash Flow statement'!D6,0)</f>
        <v>23481</v>
      </c>
      <c r="E91" s="13">
        <f>IFERROR('Cash Flow statement'!E6,0)</f>
        <v>28573</v>
      </c>
      <c r="F91" s="13">
        <f>IFERROR('Cash Flow statement'!F6,0)</f>
        <v>36737</v>
      </c>
      <c r="G91" s="13">
        <f>IFERROR('Cash Flow statement'!G6,0)</f>
        <v>44497</v>
      </c>
      <c r="H91" s="13">
        <f>IFERROR('Cash Flow statement'!H6,0)</f>
        <v>54764</v>
      </c>
      <c r="I91" s="13">
        <f>IFERROR('Cash Flow statement'!I6,0)</f>
        <v>65619</v>
      </c>
      <c r="J91" s="13">
        <f>IFERROR('Cash Flow statement'!J6,0)</f>
        <v>70781</v>
      </c>
    </row>
    <row r="92" spans="1:11" hidden="1">
      <c r="B92" t="s">
        <v>93</v>
      </c>
      <c r="C92" s="13">
        <f>IFERROR('Cash Flow statement'!C7,0)</f>
        <v>-70356</v>
      </c>
      <c r="D92" s="13">
        <f>IFERROR('Cash Flow statement'!D7,0)</f>
        <v>-106601</v>
      </c>
      <c r="E92" s="13">
        <f>IFERROR('Cash Flow statement'!E7,0)</f>
        <v>-101890</v>
      </c>
      <c r="F92" s="13">
        <f>IFERROR('Cash Flow statement'!F7,0)</f>
        <v>-120305</v>
      </c>
      <c r="G92" s="13">
        <f>IFERROR('Cash Flow statement'!G7,0)</f>
        <v>-176608</v>
      </c>
      <c r="H92" s="13">
        <f>IFERROR('Cash Flow statement'!H7,0)</f>
        <v>-185500</v>
      </c>
      <c r="I92" s="13">
        <f>IFERROR('Cash Flow statement'!I7,0)</f>
        <v>-155681</v>
      </c>
      <c r="J92" s="13">
        <f>IFERROR('Cash Flow statement'!J7,0)</f>
        <v>-248946</v>
      </c>
    </row>
    <row r="93" spans="1:11" hidden="1">
      <c r="B93" t="s">
        <v>94</v>
      </c>
      <c r="C93" s="13">
        <f>IFERROR('Cash Flow statement'!C8,0)</f>
        <v>-45020</v>
      </c>
      <c r="D93" s="13">
        <f>IFERROR('Cash Flow statement'!D8,0)</f>
        <v>-39116</v>
      </c>
      <c r="E93" s="13">
        <f>IFERROR('Cash Flow statement'!E8,0)</f>
        <v>-17326</v>
      </c>
      <c r="F93" s="13">
        <f>IFERROR('Cash Flow statement'!F8,0)</f>
        <v>-28231</v>
      </c>
      <c r="G93" s="13">
        <f>IFERROR('Cash Flow statement'!G8,0)</f>
        <v>-51458</v>
      </c>
      <c r="H93" s="13">
        <f>IFERROR('Cash Flow statement'!H8,0)</f>
        <v>-101070</v>
      </c>
      <c r="I93" s="13">
        <f>IFERROR('Cash Flow statement'!I8,0)</f>
        <v>-50157</v>
      </c>
      <c r="J93" s="13">
        <f>IFERROR('Cash Flow statement'!J8,0)</f>
        <v>-10849</v>
      </c>
    </row>
    <row r="94" spans="1:11" hidden="1">
      <c r="B94" t="s">
        <v>102</v>
      </c>
      <c r="C94" s="13">
        <f>IFERROR('Cash Flow statement'!C9,0)</f>
        <v>83203</v>
      </c>
      <c r="D94" s="13">
        <f>IFERROR('Cash Flow statement'!D9,0)</f>
        <v>95590</v>
      </c>
      <c r="E94" s="13">
        <f>IFERROR('Cash Flow statement'!E9,0)</f>
        <v>97261</v>
      </c>
      <c r="F94" s="13">
        <f>IFERROR('Cash Flow statement'!F9,0)</f>
        <v>145241</v>
      </c>
      <c r="G94" s="13">
        <f>IFERROR('Cash Flow statement'!G9,0)</f>
        <v>134128</v>
      </c>
      <c r="H94" s="13">
        <f>IFERROR('Cash Flow statement'!H9,0)</f>
        <v>223704</v>
      </c>
      <c r="I94" s="13">
        <f>IFERROR('Cash Flow statement'!I9,0)</f>
        <v>187514</v>
      </c>
      <c r="J94" s="13">
        <f>IFERROR('Cash Flow statement'!J9,0)</f>
        <v>224282</v>
      </c>
    </row>
    <row r="95" spans="1:11" hidden="1">
      <c r="B95" t="s">
        <v>103</v>
      </c>
      <c r="C95" s="13">
        <f>IFERROR('Cash Flow statement'!C10,0)</f>
        <v>-2656</v>
      </c>
      <c r="D95" s="13">
        <f>IFERROR('Cash Flow statement'!D10,0)</f>
        <v>-716</v>
      </c>
      <c r="E95" s="13">
        <f>IFERROR('Cash Flow statement'!E10,0)</f>
        <v>18348</v>
      </c>
      <c r="F95" s="13">
        <f>IFERROR('Cash Flow statement'!F10,0)</f>
        <v>-6218</v>
      </c>
      <c r="G95" s="13">
        <f>IFERROR('Cash Flow statement'!G10,0)</f>
        <v>-932</v>
      </c>
      <c r="H95" s="13">
        <f>IFERROR('Cash Flow statement'!H10,0)</f>
        <v>2110</v>
      </c>
      <c r="I95" s="13">
        <f>IFERROR('Cash Flow statement'!I10,0)</f>
        <v>8203</v>
      </c>
      <c r="J95" s="13">
        <f>IFERROR('Cash Flow statement'!J10,0)</f>
        <v>-32389</v>
      </c>
    </row>
    <row r="96" spans="1:11" hidden="1">
      <c r="B96" t="s">
        <v>104</v>
      </c>
      <c r="C96" s="13">
        <f>IFERROR('Cash Flow statement'!C11,0)</f>
        <v>-34829</v>
      </c>
      <c r="D96" s="13">
        <f>IFERROR('Cash Flow statement'!D11,0)</f>
        <v>-50844</v>
      </c>
      <c r="E96" s="13">
        <f>IFERROR('Cash Flow statement'!E11,0)</f>
        <v>-3607</v>
      </c>
      <c r="F96" s="13">
        <f>IFERROR('Cash Flow statement'!F11,0)</f>
        <v>-9513</v>
      </c>
      <c r="G96" s="13">
        <f>IFERROR('Cash Flow statement'!G11,0)</f>
        <v>-94870</v>
      </c>
      <c r="H96" s="13">
        <f>IFERROR('Cash Flow statement'!H11,0)</f>
        <v>-60756</v>
      </c>
      <c r="I96" s="13">
        <f>IFERROR('Cash Flow statement'!I11,0)</f>
        <v>-10121</v>
      </c>
      <c r="J96" s="13">
        <f>IFERROR('Cash Flow statement'!J11,0)</f>
        <v>-67902</v>
      </c>
    </row>
    <row r="97" spans="2:11" hidden="1">
      <c r="B97" t="s">
        <v>105</v>
      </c>
      <c r="C97" s="13">
        <f>IFERROR('Cash Flow statement'!C12,0)</f>
        <v>-5647</v>
      </c>
      <c r="D97" s="13">
        <f>IFERROR('Cash Flow statement'!D12,0)</f>
        <v>-7073</v>
      </c>
      <c r="E97" s="13">
        <f>IFERROR('Cash Flow statement'!E12,0)</f>
        <v>-7685</v>
      </c>
      <c r="F97" s="13">
        <f>IFERROR('Cash Flow statement'!F12,0)</f>
        <v>-10010</v>
      </c>
      <c r="G97" s="13">
        <f>IFERROR('Cash Flow statement'!G12,0)</f>
        <v>-12498</v>
      </c>
      <c r="H97" s="13">
        <f>IFERROR('Cash Flow statement'!H12,0)</f>
        <v>-10877</v>
      </c>
      <c r="I97" s="13">
        <f>IFERROR('Cash Flow statement'!I12,0)</f>
        <v>-13021</v>
      </c>
      <c r="J97" s="13">
        <f>IFERROR('Cash Flow statement'!J12,0)</f>
        <v>-14838</v>
      </c>
    </row>
    <row r="98" spans="2:11">
      <c r="B98" s="22" t="s">
        <v>106</v>
      </c>
      <c r="C98" s="13">
        <f>IFERROR('Data Sheet'!D82,0)</f>
        <v>-62871.54</v>
      </c>
      <c r="D98" s="13">
        <f>IFERROR('Data Sheet'!E82,0)</f>
        <v>-16869.09</v>
      </c>
      <c r="E98" s="13">
        <f>IFERROR('Data Sheet'!F82,0)</f>
        <v>42476.45</v>
      </c>
      <c r="F98" s="13">
        <f>IFERROR('Data Sheet'!G82,0)</f>
        <v>-11959.57</v>
      </c>
      <c r="G98" s="13">
        <f>IFERROR('Data Sheet'!H82,0)</f>
        <v>20813.7</v>
      </c>
      <c r="H98" s="13">
        <f>IFERROR('Data Sheet'!I82,0)</f>
        <v>19069.34</v>
      </c>
      <c r="I98" s="13">
        <f>IFERROR('Data Sheet'!J82,0)</f>
        <v>127241.84</v>
      </c>
      <c r="J98" s="13">
        <f>IFERROR('Data Sheet'!K82,0)</f>
        <v>113506.38</v>
      </c>
      <c r="K98" s="24">
        <f>IFERROR('Data Sheet'!L82,0)</f>
        <v>0</v>
      </c>
    </row>
    <row r="99" spans="2:11">
      <c r="B99" t="str">
        <f>'Cash Flow statement'!B6</f>
        <v>Profit from operations</v>
      </c>
      <c r="C99" s="13"/>
      <c r="D99" s="13"/>
      <c r="E99" s="13"/>
      <c r="F99" s="13"/>
      <c r="G99" s="13"/>
      <c r="H99" s="13"/>
      <c r="I99" s="13"/>
      <c r="J99" s="13"/>
    </row>
    <row r="100" spans="2:11" ht="12.95" hidden="1" customHeight="1">
      <c r="B100" s="22" t="s">
        <v>107</v>
      </c>
      <c r="C100" s="13"/>
      <c r="D100" s="13"/>
      <c r="E100" s="13"/>
      <c r="F100" s="13"/>
      <c r="G100" s="13"/>
      <c r="H100" s="13"/>
      <c r="I100" s="13"/>
      <c r="J100" s="13"/>
    </row>
    <row r="101" spans="2:11" hidden="1">
      <c r="B101" t="s">
        <v>108</v>
      </c>
      <c r="C101" s="13">
        <f>IFERROR('Cash Flow statement'!C14,0)</f>
        <v>-772</v>
      </c>
      <c r="D101" s="13">
        <f>IFERROR('Cash Flow statement'!D14,0)</f>
        <v>-877</v>
      </c>
      <c r="E101" s="13">
        <f>IFERROR('Cash Flow statement'!E14,0)</f>
        <v>-1158</v>
      </c>
      <c r="F101" s="13">
        <f>IFERROR('Cash Flow statement'!F14,0)</f>
        <v>-848</v>
      </c>
      <c r="G101" s="13">
        <f>IFERROR('Cash Flow statement'!G14,0)</f>
        <v>-1621</v>
      </c>
      <c r="H101" s="13">
        <f>IFERROR('Cash Flow statement'!H14,0)</f>
        <v>-1636</v>
      </c>
      <c r="I101" s="13">
        <f>IFERROR('Cash Flow statement'!I14,0)</f>
        <v>-1696</v>
      </c>
      <c r="J101" s="13">
        <f>IFERROR('Cash Flow statement'!J14,0)</f>
        <v>-2236</v>
      </c>
    </row>
    <row r="102" spans="2:11" hidden="1">
      <c r="B102" t="s">
        <v>109</v>
      </c>
      <c r="C102" s="13">
        <f>IFERROR('Cash Flow statement'!C15,0)</f>
        <v>33</v>
      </c>
      <c r="D102" s="13">
        <f>IFERROR('Cash Flow statement'!D15,0)</f>
        <v>12</v>
      </c>
      <c r="E102" s="13">
        <f>IFERROR('Cash Flow statement'!E15,0)</f>
        <v>10</v>
      </c>
      <c r="F102" s="13">
        <f>IFERROR('Cash Flow statement'!F15,0)</f>
        <v>10</v>
      </c>
      <c r="G102" s="13">
        <f>IFERROR('Cash Flow statement'!G15,0)</f>
        <v>22</v>
      </c>
      <c r="H102" s="13">
        <f>IFERROR('Cash Flow statement'!H15,0)</f>
        <v>19</v>
      </c>
      <c r="I102" s="13">
        <f>IFERROR('Cash Flow statement'!I15,0)</f>
        <v>15</v>
      </c>
      <c r="J102" s="13">
        <f>IFERROR('Cash Flow statement'!J15,0)</f>
        <v>20</v>
      </c>
    </row>
    <row r="103" spans="2:11" hidden="1">
      <c r="B103" t="s">
        <v>110</v>
      </c>
      <c r="C103" s="13">
        <f>IFERROR('Cash Flow statement'!C16,0)</f>
        <v>0</v>
      </c>
      <c r="D103" s="13">
        <f>IFERROR('Cash Flow statement'!D16,0)</f>
        <v>0</v>
      </c>
      <c r="E103" s="13">
        <f>IFERROR('Cash Flow statement'!E16,0)</f>
        <v>0</v>
      </c>
      <c r="F103" s="13">
        <f>IFERROR('Cash Flow statement'!F16,0)</f>
        <v>0</v>
      </c>
      <c r="G103" s="13">
        <f>IFERROR('Cash Flow statement'!G16,0)</f>
        <v>0</v>
      </c>
      <c r="H103" s="13">
        <f>IFERROR('Cash Flow statement'!H16,0)</f>
        <v>0</v>
      </c>
      <c r="I103" s="13">
        <f>IFERROR('Cash Flow statement'!I16,0)</f>
        <v>0</v>
      </c>
      <c r="J103" s="13">
        <f>IFERROR('Cash Flow statement'!J16,0)</f>
        <v>0</v>
      </c>
    </row>
    <row r="104" spans="2:11" hidden="1">
      <c r="B104" t="s">
        <v>111</v>
      </c>
      <c r="C104" s="13">
        <f>IFERROR('Cash Flow statement'!C17,0)</f>
        <v>-72</v>
      </c>
      <c r="D104" s="13">
        <f>IFERROR('Cash Flow statement'!D17,0)</f>
        <v>0</v>
      </c>
      <c r="E104" s="13">
        <f>IFERROR('Cash Flow statement'!E17,0)</f>
        <v>0</v>
      </c>
      <c r="F104" s="13">
        <f>IFERROR('Cash Flow statement'!F17,0)</f>
        <v>0</v>
      </c>
      <c r="G104" s="13">
        <f>IFERROR('Cash Flow statement'!G17,0)</f>
        <v>0</v>
      </c>
      <c r="H104" s="13">
        <f>IFERROR('Cash Flow statement'!H17,0)</f>
        <v>0</v>
      </c>
      <c r="I104" s="13">
        <f>IFERROR('Cash Flow statement'!I17,0)</f>
        <v>0</v>
      </c>
      <c r="J104" s="13">
        <f>IFERROR('Cash Flow statement'!J17,0)</f>
        <v>0</v>
      </c>
    </row>
    <row r="105" spans="2:11" hidden="1">
      <c r="B105" t="s">
        <v>112</v>
      </c>
      <c r="C105" s="13">
        <f>IFERROR('Cash Flow statement'!C18,0)</f>
        <v>0</v>
      </c>
      <c r="D105" s="13">
        <f>IFERROR('Cash Flow statement'!D18,0)</f>
        <v>0</v>
      </c>
      <c r="E105" s="13">
        <f>IFERROR('Cash Flow statement'!E18,0)</f>
        <v>0</v>
      </c>
      <c r="F105" s="13">
        <f>IFERROR('Cash Flow statement'!F18,0)</f>
        <v>-14</v>
      </c>
      <c r="G105" s="13">
        <f>IFERROR('Cash Flow statement'!G18,0)</f>
        <v>0</v>
      </c>
      <c r="H105" s="13">
        <f>IFERROR('Cash Flow statement'!H18,0)</f>
        <v>0</v>
      </c>
      <c r="I105" s="13">
        <f>IFERROR('Cash Flow statement'!I18,0)</f>
        <v>0</v>
      </c>
      <c r="J105" s="13">
        <f>IFERROR('Cash Flow statement'!J18,0)</f>
        <v>0</v>
      </c>
    </row>
    <row r="106" spans="2:11" hidden="1">
      <c r="B106" t="s">
        <v>113</v>
      </c>
      <c r="C106" s="13">
        <f>IFERROR('Cash Flow statement'!C19,0)</f>
        <v>11</v>
      </c>
      <c r="D106" s="13">
        <f>IFERROR('Cash Flow statement'!D19,0)</f>
        <v>28</v>
      </c>
      <c r="E106" s="13">
        <f>IFERROR('Cash Flow statement'!E19,0)</f>
        <v>1</v>
      </c>
      <c r="F106" s="13">
        <f>IFERROR('Cash Flow statement'!F19,0)</f>
        <v>11</v>
      </c>
      <c r="G106" s="13">
        <f>IFERROR('Cash Flow statement'!G19,0)</f>
        <v>95</v>
      </c>
      <c r="H106" s="13">
        <f>IFERROR('Cash Flow statement'!H19,0)</f>
        <v>214</v>
      </c>
      <c r="I106" s="13">
        <f>IFERROR('Cash Flow statement'!I19,0)</f>
        <v>-142</v>
      </c>
      <c r="J106" s="13">
        <f>IFERROR('Cash Flow statement'!J19,0)</f>
        <v>165</v>
      </c>
    </row>
    <row r="107" spans="2:11" hidden="1">
      <c r="B107" t="s">
        <v>114</v>
      </c>
      <c r="C107" s="13">
        <f>IFERROR('Cash Flow statement'!C20,0)</f>
        <v>18694</v>
      </c>
      <c r="D107" s="13">
        <f>IFERROR('Cash Flow statement'!D20,0)</f>
        <v>37815</v>
      </c>
      <c r="E107" s="13">
        <f>IFERROR('Cash Flow statement'!E20,0)</f>
        <v>-5893</v>
      </c>
      <c r="F107" s="13">
        <f>IFERROR('Cash Flow statement'!F20,0)</f>
        <v>57378</v>
      </c>
      <c r="G107" s="13">
        <f>IFERROR('Cash Flow statement'!G20,0)</f>
        <v>23131</v>
      </c>
      <c r="H107" s="13">
        <f>IFERROR('Cash Flow statement'!H20,0)</f>
        <v>24394</v>
      </c>
      <c r="I107" s="13">
        <f>IFERROR('Cash Flow statement'!I20,0)</f>
        <v>-7321</v>
      </c>
      <c r="J107" s="13">
        <f>IFERROR('Cash Flow statement'!J20,0)</f>
        <v>48124</v>
      </c>
    </row>
    <row r="108" spans="2:11" hidden="1">
      <c r="B108" t="s">
        <v>115</v>
      </c>
      <c r="C108" s="13">
        <f>IFERROR('Cash Flow statement'!C21,0)</f>
        <v>10718</v>
      </c>
      <c r="D108" s="13">
        <f>IFERROR('Cash Flow statement'!D21,0)</f>
        <v>1223</v>
      </c>
      <c r="E108" s="13">
        <f>IFERROR('Cash Flow statement'!E21,0)</f>
        <v>2262</v>
      </c>
      <c r="F108" s="13">
        <f>IFERROR('Cash Flow statement'!F21,0)</f>
        <v>13006</v>
      </c>
      <c r="G108" s="13">
        <f>IFERROR('Cash Flow statement'!G21,0)</f>
        <v>26690</v>
      </c>
      <c r="H108" s="13">
        <f>IFERROR('Cash Flow statement'!H21,0)</f>
        <v>1849</v>
      </c>
      <c r="I108" s="13">
        <f>IFERROR('Cash Flow statement'!I21,0)</f>
        <v>1760</v>
      </c>
      <c r="J108" s="13">
        <f>IFERROR('Cash Flow statement'!J21,0)</f>
        <v>2610</v>
      </c>
    </row>
    <row r="133" spans="2:10">
      <c r="B133" s="22" t="s">
        <v>116</v>
      </c>
      <c r="C133" s="13">
        <f>IFERROR('Data Sheet'!D83,0)</f>
        <v>-1503.06</v>
      </c>
      <c r="D133" s="13">
        <f>IFERROR('Data Sheet'!E83,0)</f>
        <v>-1402.94</v>
      </c>
      <c r="E133" s="13">
        <f>IFERROR('Data Sheet'!F83,0)</f>
        <v>-1822.7</v>
      </c>
      <c r="F133" s="13">
        <f>IFERROR('Data Sheet'!G83,0)</f>
        <v>-2051.23</v>
      </c>
      <c r="G133" s="13">
        <f>IFERROR('Data Sheet'!H83,0)</f>
        <v>-2992.18</v>
      </c>
      <c r="H133" s="13">
        <f>IFERROR('Data Sheet'!I83,0)</f>
        <v>16600.419999999998</v>
      </c>
      <c r="I133" s="13">
        <f>IFERROR('Data Sheet'!J83,0)</f>
        <v>-3650.91</v>
      </c>
      <c r="J133" s="13">
        <f>IFERROR('Data Sheet'!K83,0)</f>
        <v>7476.62</v>
      </c>
    </row>
    <row r="134" spans="2:10">
      <c r="C134" s="13"/>
      <c r="D134" s="13"/>
      <c r="E134" s="13"/>
      <c r="F134" s="13"/>
      <c r="G134" s="13"/>
      <c r="H134" s="13"/>
      <c r="I134" s="13"/>
      <c r="J134" s="13"/>
    </row>
    <row r="135" spans="2:10" hidden="1">
      <c r="B135" s="22" t="s">
        <v>117</v>
      </c>
      <c r="C135" s="13"/>
      <c r="D135" s="13"/>
      <c r="E135" s="13"/>
      <c r="F135" s="13"/>
      <c r="G135" s="13"/>
      <c r="H135" s="13"/>
      <c r="I135" s="13"/>
      <c r="J135" s="13"/>
    </row>
    <row r="136" spans="2:10" hidden="1">
      <c r="B136" t="s">
        <v>118</v>
      </c>
      <c r="C136" s="13">
        <f>IFERROR('Cash Flow statement'!C23,0)</f>
        <v>0</v>
      </c>
      <c r="D136" s="13">
        <f>IFERROR('Cash Flow statement'!D23,0)</f>
        <v>0</v>
      </c>
      <c r="E136" s="13">
        <f>IFERROR('Cash Flow statement'!E23,0)</f>
        <v>0</v>
      </c>
      <c r="F136" s="13">
        <f>IFERROR('Cash Flow statement'!F23,0)</f>
        <v>0</v>
      </c>
      <c r="G136" s="13">
        <f>IFERROR('Cash Flow statement'!G23,0)</f>
        <v>-2875</v>
      </c>
      <c r="H136" s="13">
        <f>IFERROR('Cash Flow statement'!H23,0)</f>
        <v>0</v>
      </c>
      <c r="I136" s="13">
        <f>IFERROR('Cash Flow statement'!I23,0)</f>
        <v>-1105</v>
      </c>
      <c r="J136" s="13">
        <f>IFERROR('Cash Flow statement'!J23,0)</f>
        <v>-3650</v>
      </c>
    </row>
    <row r="137" spans="2:10" hidden="1">
      <c r="B137" t="s">
        <v>119</v>
      </c>
      <c r="C137" s="13">
        <f>IFERROR('Cash Flow statement'!C24,0)</f>
        <v>0</v>
      </c>
      <c r="D137" s="13">
        <f>IFERROR('Cash Flow statement'!D24,0)</f>
        <v>0</v>
      </c>
      <c r="E137" s="13">
        <f>IFERROR('Cash Flow statement'!E24,0)</f>
        <v>0</v>
      </c>
      <c r="F137" s="13">
        <f>IFERROR('Cash Flow statement'!F24,0)</f>
        <v>0</v>
      </c>
      <c r="G137" s="13">
        <f>IFERROR('Cash Flow statement'!G24,0)</f>
        <v>3266</v>
      </c>
      <c r="H137" s="13">
        <f>IFERROR('Cash Flow statement'!H24,0)</f>
        <v>28358</v>
      </c>
      <c r="I137" s="13">
        <f>IFERROR('Cash Flow statement'!I24,0)</f>
        <v>0</v>
      </c>
      <c r="J137" s="13">
        <f>IFERROR('Cash Flow statement'!J24,0)</f>
        <v>44308</v>
      </c>
    </row>
    <row r="138" spans="2:10" hidden="1">
      <c r="B138" t="s">
        <v>120</v>
      </c>
      <c r="C138" s="13">
        <f>IFERROR('Cash Flow statement'!C25,0)</f>
        <v>0</v>
      </c>
      <c r="D138" s="13">
        <f>IFERROR('Cash Flow statement'!D25,0)</f>
        <v>0</v>
      </c>
      <c r="E138" s="13">
        <f>IFERROR('Cash Flow statement'!E25,0)</f>
        <v>0</v>
      </c>
      <c r="F138" s="13">
        <f>IFERROR('Cash Flow statement'!F25,0)</f>
        <v>0</v>
      </c>
      <c r="G138" s="13">
        <f>IFERROR('Cash Flow statement'!G25,0)</f>
        <v>0</v>
      </c>
      <c r="H138" s="13">
        <f>IFERROR('Cash Flow statement'!H25,0)</f>
        <v>0</v>
      </c>
      <c r="I138" s="13">
        <f>IFERROR('Cash Flow statement'!I25,0)</f>
        <v>-8389</v>
      </c>
      <c r="J138" s="13">
        <f>IFERROR('Cash Flow statement'!J25,0)</f>
        <v>0</v>
      </c>
    </row>
    <row r="139" spans="2:10" hidden="1">
      <c r="B139" t="s">
        <v>121</v>
      </c>
      <c r="C139" s="13">
        <f>IFERROR('Cash Flow statement'!C26,0)</f>
        <v>-1649</v>
      </c>
      <c r="D139" s="13">
        <f>IFERROR('Cash Flow statement'!D26,0)</f>
        <v>-2009</v>
      </c>
      <c r="E139" s="13">
        <f>IFERROR('Cash Flow statement'!E26,0)</f>
        <v>-2408</v>
      </c>
      <c r="F139" s="13">
        <f>IFERROR('Cash Flow statement'!F26,0)</f>
        <v>-2831</v>
      </c>
      <c r="G139" s="13">
        <f>IFERROR('Cash Flow statement'!G26,0)</f>
        <v>-4096</v>
      </c>
      <c r="H139" s="13">
        <f>IFERROR('Cash Flow statement'!H26,0)</f>
        <v>-6631</v>
      </c>
      <c r="I139" s="13">
        <f>IFERROR('Cash Flow statement'!I26,0)</f>
        <v>0</v>
      </c>
      <c r="J139" s="13">
        <f>IFERROR('Cash Flow statement'!J26,0)</f>
        <v>-3592</v>
      </c>
    </row>
    <row r="140" spans="2:10" hidden="1">
      <c r="B140" t="s">
        <v>122</v>
      </c>
      <c r="C140" s="13">
        <f>IFERROR('Cash Flow statement'!C27,0)</f>
        <v>9625</v>
      </c>
      <c r="D140" s="13">
        <f>IFERROR('Cash Flow statement'!D27,0)</f>
        <v>38601</v>
      </c>
      <c r="E140" s="13">
        <f>IFERROR('Cash Flow statement'!E27,0)</f>
        <v>-5746</v>
      </c>
      <c r="F140" s="13">
        <f>IFERROR('Cash Flow statement'!F27,0)</f>
        <v>47203</v>
      </c>
      <c r="G140" s="13">
        <f>IFERROR('Cash Flow statement'!G27,0)</f>
        <v>145</v>
      </c>
      <c r="H140" s="13">
        <f>IFERROR('Cash Flow statement'!H27,0)</f>
        <v>75</v>
      </c>
      <c r="I140" s="13">
        <f>IFERROR('Cash Flow statement'!I27,0)</f>
        <v>56</v>
      </c>
      <c r="J140" s="13">
        <f>IFERROR('Cash Flow statement'!J27,0)</f>
        <v>136</v>
      </c>
    </row>
    <row r="141" spans="2:10" hidden="1">
      <c r="B141" t="s">
        <v>123</v>
      </c>
      <c r="C141" s="13">
        <f>IFERROR('Cash Flow statement'!C28,0)</f>
        <v>-3387</v>
      </c>
      <c r="D141" s="13">
        <f>IFERROR('Cash Flow statement'!D28,0)</f>
        <v>2542</v>
      </c>
      <c r="E141" s="13">
        <f>IFERROR('Cash Flow statement'!E28,0)</f>
        <v>10242</v>
      </c>
      <c r="F141" s="13">
        <f>IFERROR('Cash Flow statement'!F28,0)</f>
        <v>73750</v>
      </c>
      <c r="G141" s="13">
        <f>IFERROR('Cash Flow statement'!G28,0)</f>
        <v>-41244</v>
      </c>
      <c r="H141" s="13">
        <f>IFERROR('Cash Flow statement'!H28,0)</f>
        <v>6122</v>
      </c>
      <c r="I141" s="13">
        <f>IFERROR('Cash Flow statement'!I28,0)</f>
        <v>33332</v>
      </c>
      <c r="J141" s="13">
        <f>IFERROR('Cash Flow statement'!J28,0)</f>
        <v>34113</v>
      </c>
    </row>
    <row r="142" spans="2:10">
      <c r="B142" s="22" t="s">
        <v>124</v>
      </c>
      <c r="C142" s="13">
        <f>IFERROR('Data Sheet'!D84,0)</f>
        <v>23130.69</v>
      </c>
      <c r="D142" s="13">
        <f>IFERROR('Data Sheet'!E84,0)</f>
        <v>24394.5</v>
      </c>
      <c r="E142" s="13">
        <f>IFERROR('Data Sheet'!F84,0)</f>
        <v>-7321.35</v>
      </c>
      <c r="F142" s="13">
        <f>IFERROR('Data Sheet'!G84,0)</f>
        <v>48124.02</v>
      </c>
      <c r="G142" s="13">
        <f>IFERROR('Data Sheet'!H84,0)</f>
        <v>23940.560000000001</v>
      </c>
      <c r="H142" s="13">
        <f>IFERROR('Data Sheet'!I84,0)</f>
        <v>-3983.06</v>
      </c>
      <c r="I142" s="13">
        <f>IFERROR('Data Sheet'!J84,0)</f>
        <v>-102477.54</v>
      </c>
      <c r="J142" s="13">
        <f>IFERROR('Data Sheet'!K84,0)</f>
        <v>-59004.85</v>
      </c>
    </row>
    <row r="143" spans="2:10" hidden="1">
      <c r="C143" s="24"/>
      <c r="D143" s="24"/>
      <c r="E143" s="24"/>
      <c r="F143" s="24"/>
      <c r="G143" s="24"/>
      <c r="H143" s="24"/>
      <c r="I143" s="24"/>
      <c r="J143" s="24"/>
    </row>
    <row r="144" spans="2:10">
      <c r="B144" s="22" t="s">
        <v>125</v>
      </c>
      <c r="C144" s="24">
        <f>IFERROR(SUM(C142,C133,C98),0)</f>
        <v>-41243.910000000003</v>
      </c>
      <c r="D144" s="24">
        <f>IFERROR(SUM(D142,D133,D98),0)</f>
        <v>6122.4700000000012</v>
      </c>
      <c r="E144" s="24">
        <f>IFERROR(SUM(E142,E133,E98),0)</f>
        <v>33332.399999999994</v>
      </c>
      <c r="F144" s="24">
        <f>IFERROR(SUM(F142,F133,F98),0)</f>
        <v>34113.219999999994</v>
      </c>
      <c r="G144" s="24">
        <f>IFERROR(SUM(G142,G133,G98),0)</f>
        <v>41762.080000000002</v>
      </c>
      <c r="H144" s="24">
        <f>IFERROR(SUM(H142,H133,H98),0)</f>
        <v>31686.699999999997</v>
      </c>
      <c r="I144" s="24">
        <f>IFERROR(SUM(I142,I133,I98),0)</f>
        <v>21113.39</v>
      </c>
      <c r="J144" s="24">
        <f>IFERROR(SUM(J142,J133,J98),0)</f>
        <v>61978.150000000009</v>
      </c>
    </row>
  </sheetData>
  <mergeCells count="16">
    <mergeCell ref="M47:T49"/>
    <mergeCell ref="B60:L61"/>
    <mergeCell ref="B6:K6"/>
    <mergeCell ref="M9:M10"/>
    <mergeCell ref="M12:M13"/>
    <mergeCell ref="M15:M16"/>
    <mergeCell ref="M18:M19"/>
    <mergeCell ref="M21:M22"/>
    <mergeCell ref="M24:M25"/>
    <mergeCell ref="M27:M28"/>
    <mergeCell ref="M30:M31"/>
    <mergeCell ref="M33:M34"/>
    <mergeCell ref="M36:M37"/>
    <mergeCell ref="M39:M40"/>
    <mergeCell ref="M42:M43"/>
    <mergeCell ref="M44:M45"/>
  </mergeCells>
  <pageMargins left="0.7" right="0.7" top="0.75" bottom="0.75" header="0.3" footer="0.3"/>
  <pageSetup paperSize="9" orientation="portrait" verticalDpi="0" r:id="rId1"/>
  <ignoredErrors>
    <ignoredError sqref="C12 C18:J18" formulaRange="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C7C48-1975-4DA9-8117-E71B280A6939}">
  <dimension ref="B2:M21"/>
  <sheetViews>
    <sheetView showGridLines="0" zoomScale="118" zoomScaleNormal="89" workbookViewId="0">
      <selection activeCell="C1" sqref="C1:E1048576"/>
    </sheetView>
  </sheetViews>
  <sheetFormatPr defaultRowHeight="14.45"/>
  <cols>
    <col min="1" max="1" width="1.85546875" customWidth="1"/>
    <col min="2" max="2" width="23.140625" customWidth="1"/>
    <col min="3" max="5" width="0" hidden="1" customWidth="1"/>
    <col min="10" max="10" width="8.85546875" customWidth="1"/>
    <col min="11" max="11" width="20.140625" customWidth="1"/>
  </cols>
  <sheetData>
    <row r="2" spans="2:13">
      <c r="B2" s="96" t="str">
        <f>"Ratio Analysis"&amp;" " &amp; "-" &amp; " " &amp;'Data Sheet'!B1</f>
        <v>Ratio Analysis - HDFC BANK LTD</v>
      </c>
      <c r="C2" s="96"/>
      <c r="D2" s="96"/>
      <c r="E2" s="96"/>
      <c r="F2" s="96"/>
      <c r="G2" s="96"/>
      <c r="H2" s="96"/>
      <c r="I2" s="96"/>
      <c r="J2" s="96"/>
      <c r="K2" s="96"/>
      <c r="L2" s="96"/>
      <c r="M2" s="96"/>
    </row>
    <row r="3" spans="2:13">
      <c r="B3" s="9" t="s">
        <v>42</v>
      </c>
      <c r="C3" s="11">
        <f>'Historical FS'!C7</f>
        <v>43555</v>
      </c>
      <c r="D3" s="11">
        <f>'Historical FS'!D7</f>
        <v>43921</v>
      </c>
      <c r="E3" s="11">
        <f>'Historical FS'!E7</f>
        <v>44286</v>
      </c>
      <c r="F3" s="11">
        <f>'Historical FS'!F7</f>
        <v>44651</v>
      </c>
      <c r="G3" s="11">
        <f>'Historical FS'!G7</f>
        <v>45016</v>
      </c>
      <c r="H3" s="11">
        <f>'Historical FS'!H7</f>
        <v>45382</v>
      </c>
      <c r="I3" s="11">
        <f>'Historical FS'!I7</f>
        <v>45747</v>
      </c>
      <c r="J3" s="11">
        <f>'Historical FS'!J7</f>
        <v>46112</v>
      </c>
      <c r="K3" s="27" t="s">
        <v>126</v>
      </c>
      <c r="L3" s="83" t="s">
        <v>127</v>
      </c>
      <c r="M3" s="83" t="s">
        <v>128</v>
      </c>
    </row>
    <row r="5" spans="2:13">
      <c r="B5" s="28" t="s">
        <v>46</v>
      </c>
      <c r="C5" s="28" t="str">
        <f>IFERROR('Historical FS'!C10,0)</f>
        <v>-</v>
      </c>
      <c r="D5" s="29">
        <f>IFERROR('Historical FS'!D10,0)</f>
        <v>0.16192877684200391</v>
      </c>
      <c r="E5" s="29">
        <f>IFERROR('Historical FS'!E10,0)</f>
        <v>5.2075840689474573E-2</v>
      </c>
      <c r="F5" s="29">
        <f>IFERROR('Historical FS'!F10,0)</f>
        <v>5.7439689963003415E-2</v>
      </c>
      <c r="G5" s="29">
        <f>IFERROR('Historical FS'!G10,0)</f>
        <v>0.25613181928226569</v>
      </c>
      <c r="H5" s="29">
        <f>IFERROR('Historical FS'!H10,0)</f>
        <v>0.66115544550773486</v>
      </c>
      <c r="I5" s="29">
        <f>IFERROR('Historical FS'!I10,0)</f>
        <v>0.18585789578966283</v>
      </c>
      <c r="J5" s="29">
        <f>IFERROR('Historical FS'!J10,0)</f>
        <v>3.6411729875273746E-2</v>
      </c>
      <c r="K5" s="28"/>
      <c r="L5" s="29">
        <f>AVERAGE(D5:J5)</f>
        <v>0.20157159970705987</v>
      </c>
      <c r="M5" s="29">
        <f>MEDIAN(D5:J5)</f>
        <v>0.16192877684200391</v>
      </c>
    </row>
    <row r="6" spans="2:13">
      <c r="B6" t="s">
        <v>129</v>
      </c>
      <c r="D6" s="26">
        <f>IFERROR(('Historical FS'!D24-'Historical FS'!C24)/'Historical FS'!D24,0)</f>
        <v>0.12161839914850103</v>
      </c>
      <c r="E6" s="26">
        <f>IFERROR(('Historical FS'!E24-'Historical FS'!D24)/'Historical FS'!E24,0)</f>
        <v>1.7593754154429955E-2</v>
      </c>
      <c r="F6" s="26">
        <f>IFERROR(('Historical FS'!F24-'Historical FS'!E24)/'Historical FS'!F24,0)</f>
        <v>6.9370147718467307E-2</v>
      </c>
      <c r="G6" s="26">
        <f>IFERROR(('Historical FS'!G24-'Historical FS'!F24)/'Historical FS'!G24,0)</f>
        <v>0.21525591037664554</v>
      </c>
      <c r="H6" s="26">
        <f>IFERROR(('Historical FS'!H24-'Historical FS'!G24)/'Historical FS'!H24,0)</f>
        <v>0.39425035745412856</v>
      </c>
      <c r="I6" s="26">
        <f>IFERROR(('Historical FS'!I24-'Historical FS'!H24)/'Historical FS'!I24,0)</f>
        <v>0.17659360654174225</v>
      </c>
      <c r="J6" s="26">
        <f>IFERROR(('Historical FS'!J24-'Historical FS'!I24)/'Historical FS'!J24,0)</f>
        <v>2.7023148394678922E-2</v>
      </c>
      <c r="L6" s="26">
        <f t="shared" ref="L6:L9" si="0">AVERAGE(D6:J6)</f>
        <v>0.1459579033983705</v>
      </c>
      <c r="M6" s="26">
        <f t="shared" ref="M6:M20" si="1">MEDIAN(D6:J6)</f>
        <v>0.12161839914850103</v>
      </c>
    </row>
    <row r="7" spans="2:13">
      <c r="B7" t="s">
        <v>130</v>
      </c>
      <c r="D7" s="26">
        <f>IFERROR((('Historical FS'!D24-'Historical FS'!D30)-('Historical FS'!C24-'Historical FS'!C30))/('Historical FS'!C24-'Historical FS'!C30),0)</f>
        <v>0.1397399888788986</v>
      </c>
      <c r="E7" s="26">
        <f>IFERROR((('Historical FS'!E24-'Historical FS'!E30)-('Historical FS'!D24-'Historical FS'!D30))/('Historical FS'!D24-'Historical FS'!D30),0)</f>
        <v>1.7057919943611433E-2</v>
      </c>
      <c r="F7" s="26">
        <f>IFERROR((('Historical FS'!F24-'Historical FS'!F30)-('Historical FS'!E24-'Historical FS'!E30))/('Historical FS'!E24-'Historical FS'!E30),0)</f>
        <v>7.2654824293974477E-2</v>
      </c>
      <c r="G7" s="26">
        <f>IFERROR((('Historical FS'!G24-'Historical FS'!G30)-('Historical FS'!F24-'Historical FS'!F30))/('Historical FS'!F24-'Historical FS'!F30),0)</f>
        <v>0.27243964815269717</v>
      </c>
      <c r="H7" s="26">
        <f>IFERROR((('Historical FS'!H24-'Historical FS'!H30)-('Historical FS'!G24-'Historical FS'!G30))/('Historical FS'!G24-'Historical FS'!G30),0)</f>
        <v>0.65644684280749233</v>
      </c>
      <c r="I7" s="26">
        <f>IFERROR((('Historical FS'!I24-'Historical FS'!I30)-('Historical FS'!H24-'Historical FS'!H30))/('Historical FS'!H24-'Historical FS'!H30),0)</f>
        <v>0.21425040359607395</v>
      </c>
      <c r="J7" s="26">
        <f>IFERROR((('Historical FS'!J24-'Historical FS'!J30)-('Historical FS'!I24-'Historical FS'!I30))/('Historical FS'!I24-'Historical FS'!I30),0)</f>
        <v>2.6759942706450855E-2</v>
      </c>
      <c r="L7" s="26">
        <f t="shared" si="0"/>
        <v>0.19990708148274267</v>
      </c>
      <c r="M7" s="26">
        <f t="shared" si="1"/>
        <v>0.1397399888788986</v>
      </c>
    </row>
    <row r="8" spans="2:13">
      <c r="B8" t="s">
        <v>131</v>
      </c>
      <c r="D8" s="26">
        <f>IFERROR('Historical FS'!D39/'Historical FS'!C39-1,0)</f>
        <v>0.21610729225002134</v>
      </c>
      <c r="E8" s="26">
        <f>IFERROR('Historical FS'!E39/'Historical FS'!D39-1,0)</f>
        <v>0.16707410939296818</v>
      </c>
      <c r="F8" s="26">
        <f>IFERROR('Historical FS'!F39/'Historical FS'!E39-1,0)</f>
        <v>0.19757589987936641</v>
      </c>
      <c r="G8" s="26">
        <f>IFERROR('Historical FS'!G39/'Historical FS'!F39-1,0)</f>
        <v>0.20963594567886923</v>
      </c>
      <c r="H8" s="26">
        <f>IFERROR('Historical FS'!H39/'Historical FS'!G39-1,0)</f>
        <v>0.41816562546724101</v>
      </c>
      <c r="I8" s="26">
        <f>IFERROR('Historical FS'!I39/'Historical FS'!H39-1,0)</f>
        <v>0.12214052699533084</v>
      </c>
      <c r="J8" s="26">
        <f>IFERROR('Historical FS'!J39/'Historical FS'!I39-1,0)</f>
        <v>7.8693853786014678E-2</v>
      </c>
      <c r="L8" s="26">
        <f t="shared" si="0"/>
        <v>0.2013418933499731</v>
      </c>
      <c r="M8" s="26">
        <f t="shared" si="1"/>
        <v>0.19757589987936641</v>
      </c>
    </row>
    <row r="9" spans="2:13">
      <c r="B9" s="30" t="s">
        <v>132</v>
      </c>
      <c r="C9" s="30"/>
      <c r="D9" s="31">
        <f>IFERROR('Historical FS'!D47/'Historical FS'!C47-1,0)</f>
        <v>-0.66863095411944107</v>
      </c>
      <c r="E9" s="31">
        <f>IFERROR('Historical FS'!E47/'Historical FS'!D47-1,0)</f>
        <v>1.4909429045681084</v>
      </c>
      <c r="F9" s="31">
        <f>IFERROR('Historical FS'!F47/'Historical FS'!E47-1,0)</f>
        <v>1.3827036816509475</v>
      </c>
      <c r="G9" s="31">
        <f>IFERROR('Historical FS'!G47/'Historical FS'!F47-1,0)</f>
        <v>0.2267669450093468</v>
      </c>
      <c r="H9" s="31">
        <f>IFERROR('Historical FS'!H47/'Historical FS'!G47-1,0)</f>
        <v>0.3891026157577735</v>
      </c>
      <c r="I9" s="31">
        <f>IFERROR('Historical FS'!I47/'Historical FS'!H47-1,0)</f>
        <v>0.12945182109013609</v>
      </c>
      <c r="J9" s="31">
        <f>IFERROR('Historical FS'!J47/'Historical FS'!I47-1,0)</f>
        <v>4.0963713502725652E-2</v>
      </c>
      <c r="K9" s="30"/>
      <c r="L9" s="31">
        <f t="shared" si="0"/>
        <v>0.42732867535137103</v>
      </c>
      <c r="M9" s="31">
        <f t="shared" si="1"/>
        <v>0.2267669450093468</v>
      </c>
    </row>
    <row r="10" spans="2:13">
      <c r="M10" s="26"/>
    </row>
    <row r="11" spans="2:13">
      <c r="B11" s="28" t="s">
        <v>133</v>
      </c>
      <c r="C11" s="28"/>
      <c r="D11" s="29">
        <f>IFERROR('Historical FS'!C16,0)</f>
        <v>0.88837773488471083</v>
      </c>
      <c r="E11" s="29">
        <f>IFERROR('Historical FS'!D16,0)</f>
        <v>0.88364332094899645</v>
      </c>
      <c r="F11" s="29">
        <f>IFERROR('Historical FS'!E16,0)</f>
        <v>0.88073766028483325</v>
      </c>
      <c r="G11" s="29">
        <f>IFERROR('Historical FS'!F16,0)</f>
        <v>0.86996066763864077</v>
      </c>
      <c r="H11" s="29">
        <f>IFERROR('Historical FS'!G16,0)</f>
        <v>0.86994241132201555</v>
      </c>
      <c r="I11" s="29">
        <f>IFERROR('Historical FS'!H16,0)</f>
        <v>0.879055390355306</v>
      </c>
      <c r="J11" s="29">
        <f>IFERROR('Historical FS'!I16,0)</f>
        <v>0.88669696706366607</v>
      </c>
      <c r="K11" s="28"/>
      <c r="L11" s="29">
        <f>AVERAGE(D11:J11)</f>
        <v>0.87977345035688115</v>
      </c>
      <c r="M11" s="29">
        <f t="shared" si="1"/>
        <v>0.88073766028483325</v>
      </c>
    </row>
    <row r="12" spans="2:13">
      <c r="B12" t="s">
        <v>134</v>
      </c>
      <c r="D12" s="26">
        <f>IFERROR('Historical FS'!C25,0)</f>
        <v>0.84871521444219578</v>
      </c>
      <c r="E12" s="26">
        <f>IFERROR('Historical FS'!D25,0)</f>
        <v>0.83157083570908719</v>
      </c>
      <c r="F12" s="26">
        <f>IFERROR('Historical FS'!E25,0)</f>
        <v>0.80456490893985644</v>
      </c>
      <c r="G12" s="26">
        <f>IFERROR('Historical FS'!F25,0)</f>
        <v>0.81757668898273839</v>
      </c>
      <c r="H12" s="26">
        <f>IFERROR('Historical FS'!G25,0)</f>
        <v>0.82940228943325212</v>
      </c>
      <c r="I12" s="26">
        <f>IFERROR('Historical FS'!H25,0)</f>
        <v>0.82425537729691434</v>
      </c>
      <c r="J12" s="26">
        <f>IFERROR('Historical FS'!I25,0)</f>
        <v>0.8441408254063123</v>
      </c>
      <c r="L12" s="26">
        <f t="shared" ref="L12:L14" si="2">AVERAGE(D12:J12)</f>
        <v>0.82860373431576517</v>
      </c>
      <c r="M12" s="26">
        <f t="shared" si="1"/>
        <v>0.82940228943325212</v>
      </c>
    </row>
    <row r="13" spans="2:13">
      <c r="B13" t="s">
        <v>135</v>
      </c>
      <c r="D13" s="26">
        <f>IFERROR(('Historical FS'!C24-'Historical FS'!C30)/'Historical FS'!C9,0)</f>
        <v>0.83710755553831218</v>
      </c>
      <c r="E13" s="26">
        <f>IFERROR(('Historical FS'!D24-'Historical FS'!D30)/'Historical FS'!D9,0)</f>
        <v>0.82112172024242058</v>
      </c>
      <c r="F13" s="26">
        <f>IFERROR(('Historical FS'!E24-'Historical FS'!E30)/'Historical FS'!E9,0)</f>
        <v>0.79379101440346511</v>
      </c>
      <c r="G13" s="26">
        <f>IFERROR(('Historical FS'!F24-'Historical FS'!F30)/'Historical FS'!F9,0)</f>
        <v>0.80521259903803566</v>
      </c>
      <c r="H13" s="26">
        <f>IFERROR(('Historical FS'!G24-'Historical FS'!G30)/'Historical FS'!G9,0)</f>
        <v>0.81566633412208966</v>
      </c>
      <c r="I13" s="26">
        <f>IFERROR(('Historical FS'!H24-'Historical FS'!H30)/'Historical FS'!H9,0)</f>
        <v>0.81335429962000227</v>
      </c>
      <c r="J13" s="26">
        <f>IFERROR(('Historical FS'!I24-'Historical FS'!I30)/'Historical FS'!I9,0)</f>
        <v>0.83282810704948451</v>
      </c>
      <c r="L13" s="26">
        <f t="shared" si="2"/>
        <v>0.81701166143054416</v>
      </c>
      <c r="M13" s="26">
        <f t="shared" si="1"/>
        <v>0.81566633412208966</v>
      </c>
    </row>
    <row r="14" spans="2:13">
      <c r="B14" t="s">
        <v>136</v>
      </c>
      <c r="D14" s="26">
        <f>IFERROR('Historical FS'!C34,0)</f>
        <v>0.32634003906781184</v>
      </c>
      <c r="E14" s="26">
        <f>IFERROR('Historical FS'!D34,0)</f>
        <v>0.31258762531478829</v>
      </c>
      <c r="F14" s="26">
        <f>IFERROR('Historical FS'!E34,0)</f>
        <v>0.3329082148602438</v>
      </c>
      <c r="G14" s="26">
        <f>IFERROR('Historical FS'!F34,0)</f>
        <v>0.37424395715614389</v>
      </c>
      <c r="H14" s="26">
        <f>IFERROR('Historical FS'!G34,0)</f>
        <v>0.36015772393099893</v>
      </c>
      <c r="I14" s="26">
        <f>IFERROR('Historical FS'!H34,0)</f>
        <v>0.26994135216825366</v>
      </c>
      <c r="J14" s="26">
        <f>IFERROR('Historical FS'!I34,0)</f>
        <v>0.2861217865237427</v>
      </c>
      <c r="L14" s="26">
        <f t="shared" si="2"/>
        <v>0.32318581414599762</v>
      </c>
      <c r="M14" s="26">
        <f t="shared" si="1"/>
        <v>0.32634003906781184</v>
      </c>
    </row>
    <row r="15" spans="2:13">
      <c r="B15" s="30" t="s">
        <v>137</v>
      </c>
      <c r="C15" s="30"/>
      <c r="D15" s="31">
        <f>IFERROR('Historical FS'!C40,0)</f>
        <v>0.21344096665732862</v>
      </c>
      <c r="E15" s="31">
        <f>IFERROR('Historical FS'!D40,0)</f>
        <v>0.2233933104939067</v>
      </c>
      <c r="F15" s="31">
        <f>IFERROR('Historical FS'!E40,0)</f>
        <v>0.24781155388775322</v>
      </c>
      <c r="G15" s="31">
        <f>IFERROR('Historical FS'!F40,0)</f>
        <v>0.2806525492323948</v>
      </c>
      <c r="H15" s="31">
        <f>IFERROR('Historical FS'!G40,0)</f>
        <v>0.27026416064509151</v>
      </c>
      <c r="I15" s="31">
        <f>IFERROR('Historical FS'!H40,0)</f>
        <v>0.23073056977246045</v>
      </c>
      <c r="J15" s="31">
        <f>IFERROR('Historical FS'!I40,0)</f>
        <v>0.21833317809634528</v>
      </c>
      <c r="K15" s="30"/>
      <c r="L15" s="31">
        <f>AVERAGE(D15:J15)</f>
        <v>0.24066089839789725</v>
      </c>
      <c r="M15" s="31">
        <f t="shared" si="1"/>
        <v>0.23073056977246045</v>
      </c>
    </row>
    <row r="16" spans="2:13">
      <c r="L16" s="26"/>
      <c r="M16" s="26"/>
    </row>
    <row r="17" spans="2:13">
      <c r="B17" s="28" t="s">
        <v>138</v>
      </c>
      <c r="C17" s="29"/>
      <c r="D17" s="29">
        <f>IFERROR(('Historical FS'!C24-'Historical FS'!C30)/(SUM('Historical FS'!C65:C67)),0)</f>
        <v>7.1343115887753467E-2</v>
      </c>
      <c r="E17" s="29">
        <f>IFERROR(('Historical FS'!D24-'Historical FS'!D30)/(SUM('Historical FS'!D65:D67)),0)</f>
        <v>6.6471624065549323E-2</v>
      </c>
      <c r="F17" s="29">
        <f>IFERROR(('Historical FS'!E24-'Historical FS'!E30)/(SUM('Historical FS'!E65:E67)),0)</f>
        <v>5.9285435664006819E-2</v>
      </c>
      <c r="G17" s="29">
        <f>IFERROR(('Historical FS'!F24-'Historical FS'!F30)/(SUM('Historical FS'!F65:F67)),0)</f>
        <v>5.3859145595791018E-2</v>
      </c>
      <c r="H17" s="29">
        <f>IFERROR(('Historical FS'!G24-'Historical FS'!G30)/(SUM('Historical FS'!G65:G67)),0)</f>
        <v>5.7348059142056235E-2</v>
      </c>
      <c r="I17" s="29">
        <f>IFERROR(('Historical FS'!H24-'Historical FS'!H30)/(SUM('Historical FS'!H65:H67)),0)</f>
        <v>6.4734498755953454E-2</v>
      </c>
      <c r="J17" s="29">
        <f>IFERROR(('Historical FS'!I24-'Historical FS'!I30)/(SUM('Historical FS'!I65:I67)),0)</f>
        <v>7.2437293020444618E-2</v>
      </c>
      <c r="K17" s="28"/>
      <c r="L17" s="29">
        <f t="shared" ref="L17:L20" si="3">AVERAGE(D17:J17)</f>
        <v>6.3639881733079259E-2</v>
      </c>
      <c r="M17" s="29">
        <f t="shared" si="1"/>
        <v>6.4734498755953454E-2</v>
      </c>
    </row>
    <row r="18" spans="2:13">
      <c r="B18" t="s">
        <v>139</v>
      </c>
      <c r="C18" s="26"/>
      <c r="D18" s="26">
        <f>IFERROR('Historical FS'!C50,0)</f>
        <v>0.81800672826445797</v>
      </c>
      <c r="E18" s="26">
        <f>IFERROR('Historical FS'!D50,0)</f>
        <v>0.94977995161976347</v>
      </c>
      <c r="F18" s="26">
        <f>IFERROR('Historical FS'!E50,0)</f>
        <v>0.88751778664315306</v>
      </c>
      <c r="G18" s="26">
        <f>IFERROR('Historical FS'!F50,0)</f>
        <v>0.77469679614373455</v>
      </c>
      <c r="H18" s="26">
        <f>IFERROR('Historical FS'!G50,0)</f>
        <v>0.77027673585604783</v>
      </c>
      <c r="I18" s="26">
        <f>IFERROR('Historical FS'!H50,0)</f>
        <v>0.77364778865179973</v>
      </c>
      <c r="J18" s="26">
        <f>IFERROR('Historical FS'!I50,0)</f>
        <v>0.77076795982362223</v>
      </c>
      <c r="K18" s="28"/>
      <c r="L18" s="26">
        <f t="shared" si="3"/>
        <v>0.82067053528608269</v>
      </c>
      <c r="M18" s="26">
        <f t="shared" si="1"/>
        <v>0.77469679614373455</v>
      </c>
    </row>
    <row r="19" spans="2:13">
      <c r="B19" t="s">
        <v>140</v>
      </c>
      <c r="C19" s="26"/>
      <c r="D19" s="26">
        <f>IFERROR('Historical FS'!C39/SUM('Historical FS'!C65:C66),0)</f>
        <v>0.14606117965290641</v>
      </c>
      <c r="E19" s="26">
        <f>IFERROR('Historical FS'!D39/SUM('Historical FS'!D65:D66),0)</f>
        <v>0.15477698833247311</v>
      </c>
      <c r="F19" s="26">
        <f>IFERROR('Historical FS'!E39/SUM('Historical FS'!E65:E66),0)</f>
        <v>0.15183615018108276</v>
      </c>
      <c r="G19" s="26">
        <f>IFERROR('Historical FS'!F39/SUM('Historical FS'!F65:F66),0)</f>
        <v>0.15425338936029298</v>
      </c>
      <c r="H19" s="26">
        <f>IFERROR('Historical FS'!G39/SUM('Historical FS'!G65:G66),0)</f>
        <v>0.1594427121572014</v>
      </c>
      <c r="I19" s="26">
        <f>IFERROR('Historical FS'!H39/SUM('Historical FS'!H65:H66),0)</f>
        <v>0.14339873169144515</v>
      </c>
      <c r="J19" s="26">
        <f>IFERROR('Historical FS'!I39/SUM('Historical FS'!I65:I66),0)</f>
        <v>0.1407467675799233</v>
      </c>
      <c r="L19" s="26">
        <f t="shared" si="3"/>
        <v>0.15007370270790357</v>
      </c>
      <c r="M19" s="26">
        <f t="shared" si="1"/>
        <v>0.15183615018108276</v>
      </c>
    </row>
    <row r="20" spans="2:13">
      <c r="B20" s="30" t="s">
        <v>141</v>
      </c>
      <c r="C20" s="32"/>
      <c r="D20" s="32">
        <f>IFERROR(('Historical FS'!C24-'Historical FS'!C30)/'Historical FS'!C27,0)</f>
        <v>1.6389208956021379</v>
      </c>
      <c r="E20" s="32">
        <f>IFERROR(('Historical FS'!D24-'Historical FS'!D30)/'Historical FS'!D27,0)</f>
        <v>1.6146837123266464</v>
      </c>
      <c r="F20" s="32">
        <f>IFERROR(('Historical FS'!E24-'Historical FS'!E30)/'Historical FS'!E27,0)</f>
        <v>1.7223272710333031</v>
      </c>
      <c r="G20" s="32">
        <f>IFERROR(('Historical FS'!F24-'Historical FS'!F30)/'Historical FS'!F27,0)</f>
        <v>1.8683786261616377</v>
      </c>
      <c r="H20" s="32">
        <f>IFERROR(('Historical FS'!G24-'Historical FS'!G30)/'Historical FS'!G27,0)</f>
        <v>1.7906716050436653</v>
      </c>
      <c r="I20" s="32">
        <f>IFERROR(('Historical FS'!H24-'Historical FS'!H30)/'Historical FS'!H27,0)</f>
        <v>1.496751785974372</v>
      </c>
      <c r="J20" s="32">
        <f>IFERROR(('Historical FS'!I24-'Historical FS'!I30)/'Historical FS'!I27,0)</f>
        <v>1.5233555490058956</v>
      </c>
      <c r="K20" s="30"/>
      <c r="L20" s="32">
        <f t="shared" si="3"/>
        <v>1.6650127778782369</v>
      </c>
      <c r="M20" s="32">
        <f t="shared" si="1"/>
        <v>1.6389208956021379</v>
      </c>
    </row>
    <row r="21" spans="2:13">
      <c r="M21" s="26"/>
    </row>
  </sheetData>
  <mergeCells count="1">
    <mergeCell ref="B2:M2"/>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C6874085-9380-44DC-A608-8AF1A0E53C68}">
          <x14:colorSeries rgb="FF376092"/>
          <x14:colorNegative rgb="FFD00000"/>
          <x14:colorAxis rgb="FF000000"/>
          <x14:colorMarkers rgb="FFD00000"/>
          <x14:colorFirst rgb="FFD00000"/>
          <x14:colorLast rgb="FFD00000"/>
          <x14:colorHigh rgb="FFD00000"/>
          <x14:colorLow rgb="FFD00000"/>
          <x14:sparklines>
            <x14:sparkline>
              <xm:f>'Ratio Analysis'!D20:J20</xm:f>
              <xm:sqref>K20</xm:sqref>
            </x14:sparkline>
          </x14:sparklines>
        </x14:sparklineGroup>
        <x14:sparklineGroup displayEmptyCellsAs="gap" xr2:uid="{1E0B63DE-8E79-4457-9BD2-6A7E5672B2A0}">
          <x14:colorSeries rgb="FF376092"/>
          <x14:colorNegative rgb="FFD00000"/>
          <x14:colorAxis rgb="FF000000"/>
          <x14:colorMarkers rgb="FFD00000"/>
          <x14:colorFirst rgb="FFD00000"/>
          <x14:colorLast rgb="FFD00000"/>
          <x14:colorHigh rgb="FFD00000"/>
          <x14:colorLow rgb="FFD00000"/>
          <x14:sparklines>
            <x14:sparkline>
              <xm:f>'Ratio Analysis'!D19:J19</xm:f>
              <xm:sqref>K19</xm:sqref>
            </x14:sparkline>
          </x14:sparklines>
        </x14:sparklineGroup>
        <x14:sparklineGroup displayEmptyCellsAs="gap" xr2:uid="{11F81247-4010-43D7-AB29-3F0D7BC8B81E}">
          <x14:colorSeries rgb="FF376092"/>
          <x14:colorNegative rgb="FFD00000"/>
          <x14:colorAxis rgb="FF000000"/>
          <x14:colorMarkers rgb="FFD00000"/>
          <x14:colorFirst rgb="FFD00000"/>
          <x14:colorLast rgb="FFD00000"/>
          <x14:colorHigh rgb="FFD00000"/>
          <x14:colorLow rgb="FFD00000"/>
          <x14:sparklines>
            <x14:sparkline>
              <xm:f>'Ratio Analysis'!D17:J17</xm:f>
              <xm:sqref>K17</xm:sqref>
            </x14:sparkline>
            <x14:sparkline>
              <xm:f>'Ratio Analysis'!D18:J18</xm:f>
              <xm:sqref>K18</xm:sqref>
            </x14:sparkline>
          </x14:sparklines>
        </x14:sparklineGroup>
        <x14:sparklineGroup displayEmptyCellsAs="gap" xr2:uid="{CE0DEE1B-75E0-45C2-9CCC-A204556DD939}">
          <x14:colorSeries rgb="FF376092"/>
          <x14:colorNegative rgb="FFD00000"/>
          <x14:colorAxis rgb="FF000000"/>
          <x14:colorMarkers rgb="FFD00000"/>
          <x14:colorFirst rgb="FFD00000"/>
          <x14:colorLast rgb="FFD00000"/>
          <x14:colorHigh rgb="FFD00000"/>
          <x14:colorLow rgb="FFD00000"/>
          <x14:sparklines>
            <x14:sparkline>
              <xm:f>'Ratio Analysis'!D11:J11</xm:f>
              <xm:sqref>K11</xm:sqref>
            </x14:sparkline>
            <x14:sparkline>
              <xm:f>'Ratio Analysis'!D12:J12</xm:f>
              <xm:sqref>K12</xm:sqref>
            </x14:sparkline>
            <x14:sparkline>
              <xm:f>'Ratio Analysis'!D13:J13</xm:f>
              <xm:sqref>K13</xm:sqref>
            </x14:sparkline>
            <x14:sparkline>
              <xm:f>'Ratio Analysis'!D14:J14</xm:f>
              <xm:sqref>K14</xm:sqref>
            </x14:sparkline>
            <x14:sparkline>
              <xm:f>'Ratio Analysis'!D15:J15</xm:f>
              <xm:sqref>K15</xm:sqref>
            </x14:sparkline>
          </x14:sparklines>
        </x14:sparklineGroup>
        <x14:sparklineGroup displayEmptyCellsAs="gap" xr2:uid="{84A3F967-58C8-475B-A13A-FD3DA5B35903}">
          <x14:colorSeries rgb="FF376092"/>
          <x14:colorNegative rgb="FFD00000"/>
          <x14:colorAxis rgb="FF000000"/>
          <x14:colorMarkers rgb="FFD00000"/>
          <x14:colorFirst rgb="FFD00000"/>
          <x14:colorLast rgb="FFD00000"/>
          <x14:colorHigh rgb="FFD00000"/>
          <x14:colorLow rgb="FFD00000"/>
          <x14:sparklines>
            <x14:sparkline>
              <xm:f>'Ratio Analysis'!D5:J5</xm:f>
              <xm:sqref>K5</xm:sqref>
            </x14:sparkline>
            <x14:sparkline>
              <xm:f>'Ratio Analysis'!D6:J6</xm:f>
              <xm:sqref>K6</xm:sqref>
            </x14:sparkline>
            <x14:sparkline>
              <xm:f>'Ratio Analysis'!D7:J7</xm:f>
              <xm:sqref>K7</xm:sqref>
            </x14:sparkline>
            <x14:sparkline>
              <xm:f>'Ratio Analysis'!D8:J8</xm:f>
              <xm:sqref>K8</xm:sqref>
            </x14:sparkline>
            <x14:sparkline>
              <xm:f>'Ratio Analysis'!D9:J9</xm:f>
              <xm:sqref>K9</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20A75-B61E-4DA7-92F5-C6A304F872DC}">
  <dimension ref="B2:J37"/>
  <sheetViews>
    <sheetView showGridLines="0" topLeftCell="A25" zoomScale="118" workbookViewId="0">
      <selection activeCell="G39" sqref="G39"/>
    </sheetView>
  </sheetViews>
  <sheetFormatPr defaultRowHeight="14.45"/>
  <cols>
    <col min="1" max="1" width="1.85546875" customWidth="1"/>
    <col min="2" max="2" width="22.140625" customWidth="1"/>
    <col min="3" max="10" width="10.140625" bestFit="1" customWidth="1"/>
  </cols>
  <sheetData>
    <row r="2" spans="2:10">
      <c r="B2" s="97" t="str">
        <f>"Common Size Income Statement -" &amp; 'Data Sheet'!B1</f>
        <v>Common Size Income Statement -HDFC BANK LTD</v>
      </c>
      <c r="C2" s="97"/>
      <c r="D2" s="97"/>
      <c r="E2" s="97"/>
      <c r="F2" s="97"/>
      <c r="G2" s="97"/>
      <c r="H2" s="97"/>
      <c r="I2" s="97"/>
      <c r="J2" s="97"/>
    </row>
    <row r="4" spans="2:10">
      <c r="B4" s="25" t="s">
        <v>142</v>
      </c>
      <c r="C4" s="34">
        <v>43555</v>
      </c>
      <c r="D4" s="34">
        <v>43921</v>
      </c>
      <c r="E4" s="34">
        <v>44286</v>
      </c>
      <c r="F4" s="34">
        <v>44651</v>
      </c>
      <c r="G4" s="34">
        <v>45016</v>
      </c>
      <c r="H4" s="34">
        <v>45382</v>
      </c>
      <c r="I4" s="34">
        <v>45747</v>
      </c>
      <c r="J4" s="34">
        <v>46112</v>
      </c>
    </row>
    <row r="5" spans="2:10">
      <c r="B5" s="22" t="s">
        <v>143</v>
      </c>
      <c r="C5" s="33">
        <f>'Data Sheet'!D17/'Data Sheet'!D17</f>
        <v>1</v>
      </c>
      <c r="D5" s="33">
        <f>'Data Sheet'!E17/'Data Sheet'!E17</f>
        <v>1</v>
      </c>
      <c r="E5" s="33">
        <f>'Data Sheet'!F17/'Data Sheet'!F17</f>
        <v>1</v>
      </c>
      <c r="F5" s="33">
        <f>'Data Sheet'!G17/'Data Sheet'!G17</f>
        <v>1</v>
      </c>
      <c r="G5" s="33">
        <f>'Data Sheet'!H17/'Data Sheet'!H17</f>
        <v>1</v>
      </c>
      <c r="H5" s="33">
        <f>'Data Sheet'!I17/'Data Sheet'!I17</f>
        <v>1</v>
      </c>
      <c r="I5" s="33">
        <f>'Data Sheet'!J17/'Data Sheet'!J17</f>
        <v>1</v>
      </c>
      <c r="J5" s="33">
        <f>'Data Sheet'!K17/'Data Sheet'!K17</f>
        <v>1</v>
      </c>
    </row>
    <row r="6" spans="2:10">
      <c r="B6" t="s">
        <v>144</v>
      </c>
      <c r="C6" s="26">
        <f>'Data Sheet'!D21/'Data Sheet'!D17</f>
        <v>1.2205410498252484E-2</v>
      </c>
      <c r="D6" s="26">
        <f>'Data Sheet'!E21/'Data Sheet'!E17</f>
        <v>1.0585543135572684E-2</v>
      </c>
      <c r="E6" s="26">
        <f>'Data Sheet'!F21/'Data Sheet'!F17</f>
        <v>1.282830970094685E-2</v>
      </c>
      <c r="F6" s="26">
        <f>'Data Sheet'!G21/'Data Sheet'!G17</f>
        <v>1.3037493045461477E-2</v>
      </c>
      <c r="G6" s="26">
        <f>'Data Sheet'!H21/'Data Sheet'!H17</f>
        <v>1.2746403379597732E-2</v>
      </c>
      <c r="H6" s="26">
        <f>'Data Sheet'!I21/'Data Sheet'!I17</f>
        <v>1.1478093596092804E-2</v>
      </c>
      <c r="I6" s="26">
        <f>'Data Sheet'!J21/'Data Sheet'!J17</f>
        <v>1.1723965069983144E-2</v>
      </c>
      <c r="J6" s="26">
        <f>'Data Sheet'!K21/'Data Sheet'!K17</f>
        <v>1.3456672780858776E-2</v>
      </c>
    </row>
    <row r="7" spans="2:10">
      <c r="B7" t="s">
        <v>145</v>
      </c>
      <c r="C7" s="26">
        <f>'Data Sheet'!D22/'Data Sheet'!D17</f>
        <v>9.941685461703674E-2</v>
      </c>
      <c r="D7" s="26">
        <f>'Data Sheet'!E22/'Data Sheet'!E17</f>
        <v>0.1057711359154309</v>
      </c>
      <c r="E7" s="26">
        <f>'Data Sheet'!F22/'Data Sheet'!F17</f>
        <v>0.10643403001421989</v>
      </c>
      <c r="F7" s="26">
        <f>'Data Sheet'!G22/'Data Sheet'!G17</f>
        <v>0.11700183931589778</v>
      </c>
      <c r="G7" s="26">
        <f>'Data Sheet'!H22/'Data Sheet'!H17</f>
        <v>0.11731118529838679</v>
      </c>
      <c r="H7" s="26">
        <f>'Data Sheet'!I22/'Data Sheet'!I17</f>
        <v>0.10946651604860118</v>
      </c>
      <c r="I7" s="26">
        <f>'Data Sheet'!J22/'Data Sheet'!J17</f>
        <v>0.10157906786635079</v>
      </c>
      <c r="J7" s="26">
        <f>'Data Sheet'!K22/'Data Sheet'!K17</f>
        <v>0.10798512342335093</v>
      </c>
    </row>
    <row r="8" spans="2:10">
      <c r="B8" t="s">
        <v>146</v>
      </c>
      <c r="C8" s="26">
        <f>'Data Sheet'!D23/'Data Sheet'!D17</f>
        <v>3.7087700219682745E-2</v>
      </c>
      <c r="D8" s="26">
        <f>'Data Sheet'!E23/'Data Sheet'!E17</f>
        <v>3.4308653401619732E-2</v>
      </c>
      <c r="E8" s="26">
        <f>'Data Sheet'!F23/'Data Sheet'!F17</f>
        <v>3.7187481525043482E-2</v>
      </c>
      <c r="F8" s="26">
        <f>'Data Sheet'!G23/'Data Sheet'!G17</f>
        <v>3.9774406283055438E-2</v>
      </c>
      <c r="G8" s="26">
        <f>'Data Sheet'!H23/'Data Sheet'!H17</f>
        <v>3.8534957150357492E-2</v>
      </c>
      <c r="H8" s="26">
        <f>'Data Sheet'!I23/'Data Sheet'!I17</f>
        <v>0.30876203979128852</v>
      </c>
      <c r="I8" s="26">
        <f>'Data Sheet'!J23/'Data Sheet'!J17</f>
        <v>0.31271889195692937</v>
      </c>
      <c r="J8" s="26">
        <f>'Data Sheet'!K23/'Data Sheet'!K17</f>
        <v>0.29704107810575642</v>
      </c>
    </row>
    <row r="9" spans="2:10">
      <c r="B9" t="s">
        <v>147</v>
      </c>
      <c r="C9" s="26">
        <f>'Data Sheet'!D24/'Data Sheet'!D17</f>
        <v>0.18274709744339948</v>
      </c>
      <c r="D9" s="26">
        <f>'Data Sheet'!E24/'Data Sheet'!E17</f>
        <v>0.22137390273730212</v>
      </c>
      <c r="E9" s="26">
        <f>'Data Sheet'!F24/'Data Sheet'!F17</f>
        <v>0.25160580432570689</v>
      </c>
      <c r="F9" s="26">
        <f>'Data Sheet'!G24/'Data Sheet'!G17</f>
        <v>0.24624079744345165</v>
      </c>
      <c r="G9" s="26">
        <f>'Data Sheet'!H24/'Data Sheet'!H17</f>
        <v>0.20060689629323583</v>
      </c>
      <c r="H9" s="26">
        <f>'Data Sheet'!I24/'Data Sheet'!I17</f>
        <v>0.18441688957712596</v>
      </c>
      <c r="I9" s="26">
        <f>'Data Sheet'!J24/'Data Sheet'!J17</f>
        <v>0.1298417923518933</v>
      </c>
      <c r="J9" s="26">
        <f>'Data Sheet'!K24/'Data Sheet'!K17</f>
        <v>0.16564328888173677</v>
      </c>
    </row>
    <row r="10" spans="2:10">
      <c r="B10" t="s">
        <v>148</v>
      </c>
      <c r="C10" s="26">
        <f>'Data Sheet'!D25/'Data Sheet'!D17</f>
        <v>0.18017227722056728</v>
      </c>
      <c r="D10" s="26">
        <f>'Data Sheet'!E25/'Data Sheet'!E17</f>
        <v>0.20361007089901254</v>
      </c>
      <c r="E10" s="26">
        <f>'Data Sheet'!F25/'Data Sheet'!F17</f>
        <v>0.21262053450577353</v>
      </c>
      <c r="F10" s="26">
        <f>'Data Sheet'!G25/'Data Sheet'!G17</f>
        <v>0.23363122507060471</v>
      </c>
      <c r="G10" s="26">
        <f>'Data Sheet'!H25/'Data Sheet'!H17</f>
        <v>0.19860173155482991</v>
      </c>
      <c r="H10" s="26">
        <f>'Data Sheet'!I25/'Data Sheet'!I17</f>
        <v>0.43837891631002285</v>
      </c>
      <c r="I10" s="26">
        <f>'Data Sheet'!J25/'Data Sheet'!J17</f>
        <v>0.40000454265146895</v>
      </c>
      <c r="J10" s="26">
        <f>'Data Sheet'!K25/'Data Sheet'!K17</f>
        <v>0.42123143529476559</v>
      </c>
    </row>
    <row r="11" spans="2:10">
      <c r="B11" t="s">
        <v>149</v>
      </c>
      <c r="C11" s="26">
        <f>'Data Sheet'!D26/'Data Sheet'!D17</f>
        <v>1.1607658903883713E-2</v>
      </c>
      <c r="D11" s="26">
        <f>'Data Sheet'!E26/'Data Sheet'!E17</f>
        <v>1.0449115466666515E-2</v>
      </c>
      <c r="E11" s="26">
        <f>'Data Sheet'!F26/'Data Sheet'!F17</f>
        <v>1.0773894536391387E-2</v>
      </c>
      <c r="F11" s="26">
        <f>'Data Sheet'!G26/'Data Sheet'!G17</f>
        <v>1.2364089944702821E-2</v>
      </c>
      <c r="G11" s="26">
        <f>'Data Sheet'!H26/'Data Sheet'!H17</f>
        <v>1.3735955311162458E-2</v>
      </c>
      <c r="H11" s="26">
        <f>'Data Sheet'!I26/'Data Sheet'!I17</f>
        <v>1.090107767691212E-2</v>
      </c>
      <c r="I11" s="26">
        <f>'Data Sheet'!J26/'Data Sheet'!J17</f>
        <v>1.1312718356827831E-2</v>
      </c>
      <c r="J11" s="26">
        <f>'Data Sheet'!K26/'Data Sheet'!K17</f>
        <v>1.2033039872191439E-2</v>
      </c>
    </row>
    <row r="12" spans="2:10">
      <c r="B12" t="s">
        <v>150</v>
      </c>
      <c r="C12" s="26">
        <f>'Data Sheet'!D27/'Data Sheet'!D17</f>
        <v>0.51076751647050034</v>
      </c>
      <c r="D12" s="26">
        <f>'Data Sheet'!E27/'Data Sheet'!E17</f>
        <v>0.50853409492763235</v>
      </c>
      <c r="E12" s="26">
        <f>'Data Sheet'!F27/'Data Sheet'!F17</f>
        <v>0.46088279954322126</v>
      </c>
      <c r="F12" s="26">
        <f>'Data Sheet'!G27/'Data Sheet'!G17</f>
        <v>0.43096864188189171</v>
      </c>
      <c r="G12" s="26">
        <f>'Data Sheet'!H27/'Data Sheet'!H17</f>
        <v>0.45550861019109068</v>
      </c>
      <c r="H12" s="26">
        <f>'Data Sheet'!I27/'Data Sheet'!I17</f>
        <v>0.54341294745174862</v>
      </c>
      <c r="I12" s="26">
        <f>'Data Sheet'!J27/'Data Sheet'!J17</f>
        <v>0.54670632052574175</v>
      </c>
      <c r="J12" s="26">
        <f>'Data Sheet'!K27/'Data Sheet'!K17</f>
        <v>0.53208023231348378</v>
      </c>
    </row>
    <row r="13" spans="2:10">
      <c r="B13" t="s">
        <v>151</v>
      </c>
      <c r="C13" s="26">
        <f>'Data Sheet'!D28/'Data Sheet'!D17</f>
        <v>0.32634003906781184</v>
      </c>
      <c r="D13" s="26">
        <f>'Data Sheet'!E28/'Data Sheet'!E17</f>
        <v>0.31258762531478823</v>
      </c>
      <c r="E13" s="26">
        <f>'Data Sheet'!F28/'Data Sheet'!F17</f>
        <v>0.3329082148602438</v>
      </c>
      <c r="F13" s="26">
        <f>'Data Sheet'!G28/'Data Sheet'!G17</f>
        <v>0.37424395715614378</v>
      </c>
      <c r="G13" s="26">
        <f>'Data Sheet'!H28/'Data Sheet'!H17</f>
        <v>0.36015772393099904</v>
      </c>
      <c r="H13" s="26">
        <f>'Data Sheet'!I28/'Data Sheet'!I17</f>
        <v>0.26994135216825355</v>
      </c>
      <c r="I13" s="26">
        <f>'Data Sheet'!J28/'Data Sheet'!J17</f>
        <v>0.28612178652374282</v>
      </c>
      <c r="J13" s="26">
        <f>'Data Sheet'!K28/'Data Sheet'!K17</f>
        <v>0.29299199991738739</v>
      </c>
    </row>
    <row r="14" spans="2:10">
      <c r="B14" t="s">
        <v>63</v>
      </c>
      <c r="C14" s="26">
        <f>'Data Sheet'!D29/'Data Sheet'!D17</f>
        <v>0.11289907241048322</v>
      </c>
      <c r="D14" s="26">
        <f>'Data Sheet'!E29/'Data Sheet'!E17</f>
        <v>8.9194314820881609E-2</v>
      </c>
      <c r="E14" s="26">
        <f>'Data Sheet'!F29/'Data Sheet'!F17</f>
        <v>8.5096660972490593E-2</v>
      </c>
      <c r="F14" s="26">
        <f>'Data Sheet'!G29/'Data Sheet'!G17</f>
        <v>9.3591407923749051E-2</v>
      </c>
      <c r="G14" s="26">
        <f>'Data Sheet'!H29/'Data Sheet'!H17</f>
        <v>8.9893563285907432E-2</v>
      </c>
      <c r="H14" s="26">
        <f>'Data Sheet'!I29/'Data Sheet'!I17</f>
        <v>3.9210782395793224E-2</v>
      </c>
      <c r="I14" s="26">
        <f>'Data Sheet'!J29/'Data Sheet'!J17</f>
        <v>6.7788608427397395E-2</v>
      </c>
      <c r="J14" s="26">
        <f>'Data Sheet'!K29/'Data Sheet'!K17</f>
        <v>6.5751560137303267E-2</v>
      </c>
    </row>
    <row r="15" spans="2:10">
      <c r="B15" t="s">
        <v>152</v>
      </c>
      <c r="C15" s="26">
        <f>'Data Sheet'!D30/'Data Sheet'!D17</f>
        <v>0.21236470949139383</v>
      </c>
      <c r="D15" s="26">
        <f>'Data Sheet'!E30/'Data Sheet'!E17</f>
        <v>0.22304696262659357</v>
      </c>
      <c r="E15" s="26">
        <f>'Data Sheet'!F30/'Data Sheet'!F17</f>
        <v>0.24762828231911657</v>
      </c>
      <c r="F15" s="26">
        <f>'Data Sheet'!G30/'Data Sheet'!G17</f>
        <v>0.27993052045438011</v>
      </c>
      <c r="G15" s="26">
        <f>'Data Sheet'!H30/'Data Sheet'!H17</f>
        <v>0.26937639253651674</v>
      </c>
      <c r="H15" s="26">
        <f>'Data Sheet'!I30/'Data Sheet'!I17</f>
        <v>0.2258496785922264</v>
      </c>
      <c r="I15" s="26">
        <f>'Data Sheet'!J30/'Data Sheet'!J17</f>
        <v>0.21046107228633879</v>
      </c>
      <c r="J15" s="26">
        <f>'Data Sheet'!K30/'Data Sheet'!K17</f>
        <v>0.21807993714558876</v>
      </c>
    </row>
    <row r="16" spans="2:10">
      <c r="B16" t="s">
        <v>153</v>
      </c>
      <c r="C16" s="26">
        <f>'Data Sheet'!D31/'Data Sheet'!D17</f>
        <v>3.884481984436397E-2</v>
      </c>
      <c r="D16" s="26">
        <f>'Data Sheet'!E31/'Data Sheet'!E17</f>
        <v>1.1218822860825201E-2</v>
      </c>
      <c r="E16" s="26">
        <f>'Data Sheet'!F31/'Data Sheet'!F17</f>
        <v>2.787439207669402E-2</v>
      </c>
      <c r="F16" s="26">
        <f>'Data Sheet'!G31/'Data Sheet'!G17</f>
        <v>6.3231918512486829E-2</v>
      </c>
      <c r="G16" s="26">
        <f>'Data Sheet'!H31/'Data Sheet'!H17</f>
        <v>6.2085965164515866E-2</v>
      </c>
      <c r="H16" s="26">
        <f>'Data Sheet'!I31/'Data Sheet'!I17</f>
        <v>5.2226374693626648E-2</v>
      </c>
      <c r="I16" s="26">
        <f>'Data Sheet'!J31/'Data Sheet'!J17</f>
        <v>5.004895985321766E-2</v>
      </c>
      <c r="J16" s="26">
        <f>'Data Sheet'!K31/'Data Sheet'!K17</f>
        <v>6.8441575186850026E-2</v>
      </c>
    </row>
    <row r="21" spans="2:10">
      <c r="B21" s="25" t="s">
        <v>142</v>
      </c>
      <c r="C21" s="34">
        <v>43555</v>
      </c>
      <c r="D21" s="34">
        <v>43921</v>
      </c>
      <c r="E21" s="34">
        <v>44286</v>
      </c>
      <c r="F21" s="34">
        <v>44651</v>
      </c>
      <c r="G21" s="34">
        <v>45016</v>
      </c>
      <c r="H21" s="34">
        <v>45382</v>
      </c>
      <c r="I21" s="34">
        <v>45747</v>
      </c>
      <c r="J21" s="34">
        <v>46112</v>
      </c>
    </row>
    <row r="23" spans="2:10">
      <c r="B23" s="64" t="s">
        <v>154</v>
      </c>
      <c r="C23" s="66">
        <f>'Historical FS'!C70/'Historical FS'!C70</f>
        <v>1</v>
      </c>
      <c r="D23" s="66">
        <f>'Historical FS'!D70/'Historical FS'!D70</f>
        <v>1</v>
      </c>
      <c r="E23" s="66">
        <f>'Historical FS'!E70/'Historical FS'!E70</f>
        <v>1</v>
      </c>
      <c r="F23" s="66">
        <f>'Historical FS'!F70/'Historical FS'!F70</f>
        <v>1</v>
      </c>
      <c r="G23" s="66">
        <f>'Historical FS'!G70/'Historical FS'!G70</f>
        <v>1</v>
      </c>
      <c r="H23" s="66">
        <f>'Historical FS'!H70/'Historical FS'!H70</f>
        <v>1</v>
      </c>
      <c r="I23" s="66">
        <f>'Historical FS'!I70/'Historical FS'!I70</f>
        <v>1</v>
      </c>
      <c r="J23" s="66">
        <f>'Historical FS'!J70/'Historical FS'!J70</f>
        <v>1</v>
      </c>
    </row>
    <row r="24" spans="2:10">
      <c r="B24" s="65" t="s">
        <v>83</v>
      </c>
      <c r="C24" s="67">
        <f>'Historical FS'!C65/'Historical FS'!C70</f>
        <v>4.2130073822152286E-4</v>
      </c>
      <c r="D24" s="67">
        <f>'Historical FS'!D65/'Historical FS'!D70</f>
        <v>3.4686199708339373E-4</v>
      </c>
      <c r="E24" s="67">
        <f>'Historical FS'!E65/'Historical FS'!E70</f>
        <v>3.0635063567395688E-4</v>
      </c>
      <c r="F24" s="67">
        <f>'Historical FS'!F65/'Historical FS'!F70</f>
        <v>2.6121863498083762E-4</v>
      </c>
      <c r="G24" s="67">
        <f>'Historical FS'!G65/'Historical FS'!G70</f>
        <v>2.2050381238394179E-4</v>
      </c>
      <c r="H24" s="67">
        <f>'Historical FS'!H65/'Historical FS'!H70</f>
        <v>1.884995985280372E-4</v>
      </c>
      <c r="I24" s="67">
        <f>'Historical FS'!I65/'Historical FS'!I70</f>
        <v>1.7422606210191243E-4</v>
      </c>
      <c r="J24" s="67">
        <f>'Historical FS'!J65/'Historical FS'!J70</f>
        <v>3.1365804342119971E-4</v>
      </c>
    </row>
    <row r="25" spans="2:10">
      <c r="B25" s="65" t="s">
        <v>84</v>
      </c>
      <c r="C25" s="67">
        <f>'Historical FS'!C66/'Historical FS'!C70</f>
        <v>0.11844625902835779</v>
      </c>
      <c r="D25" s="67">
        <f>'Historical FS'!D66/'Historical FS'!D70</f>
        <v>0.11121393962539045</v>
      </c>
      <c r="E25" s="67">
        <f>'Historical FS'!E66/'Historical FS'!E70</f>
        <v>0.11628681801522453</v>
      </c>
      <c r="F25" s="67">
        <f>'Historical FS'!F66/'Historical FS'!F70</f>
        <v>0.11624081819206558</v>
      </c>
      <c r="G25" s="67">
        <f>'Historical FS'!G66/'Historical FS'!G70</f>
        <v>0.11416211926211317</v>
      </c>
      <c r="H25" s="67">
        <f>'Historical FS'!H66/'Historical FS'!H70</f>
        <v>0.11305548333543604</v>
      </c>
      <c r="I25" s="67">
        <f>'Historical FS'!I66/'Historical FS'!I70</f>
        <v>0.11862730900788972</v>
      </c>
      <c r="J25" s="67">
        <f>'Historical FS'!J66/'Historical FS'!J70</f>
        <v>0.11910262860453526</v>
      </c>
    </row>
    <row r="26" spans="2:10">
      <c r="B26" s="65" t="s">
        <v>85</v>
      </c>
      <c r="C26" s="67">
        <f>'Historical FS'!C67/'Historical FS'!C70</f>
        <v>0.8355744808707567</v>
      </c>
      <c r="D26" s="67">
        <f>'Historical FS'!D67/'Historical FS'!D70</f>
        <v>0.8432539156018144</v>
      </c>
      <c r="E26" s="67">
        <f>'Historical FS'!E67/'Historical FS'!E70</f>
        <v>0.8399066693074646</v>
      </c>
      <c r="F26" s="67">
        <f>'Historical FS'!F67/'Historical FS'!F70</f>
        <v>0.84080300082767523</v>
      </c>
      <c r="G26" s="67">
        <f>'Historical FS'!G67/'Historical FS'!G70</f>
        <v>0.84539380549515886</v>
      </c>
      <c r="H26" s="67">
        <f>'Historical FS'!H67/'Historical FS'!H70</f>
        <v>0.77105532376992669</v>
      </c>
      <c r="I26" s="67">
        <f>'Historical FS'!I67/'Historical FS'!I70</f>
        <v>0.76170768252395904</v>
      </c>
      <c r="J26" s="67">
        <f>'Historical FS'!J67/'Historical FS'!J70</f>
        <v>0.75149700124172591</v>
      </c>
    </row>
    <row r="27" spans="2:10">
      <c r="B27" t="s">
        <v>86</v>
      </c>
      <c r="C27" s="67">
        <f>'Historical FS'!C69/'Historical FS'!C70</f>
        <v>4.5557959362664012E-2</v>
      </c>
      <c r="D27" s="67">
        <f>'Historical FS'!D69/'Historical FS'!D70</f>
        <v>4.5185282775711752E-2</v>
      </c>
      <c r="E27" s="67">
        <f>'Historical FS'!E69/'Historical FS'!E70</f>
        <v>4.3500162041636932E-2</v>
      </c>
      <c r="F27" s="67">
        <f>'Historical FS'!F69/'Historical FS'!F70</f>
        <v>4.2694962345278427E-2</v>
      </c>
      <c r="G27" s="67">
        <f>'Historical FS'!G69/'Historical FS'!G70</f>
        <v>4.0223571430344135E-2</v>
      </c>
      <c r="H27" s="67">
        <f>'Historical FS'!H69/'Historical FS'!H70</f>
        <v>0.11570069329610926</v>
      </c>
      <c r="I27" s="67">
        <f>'Historical FS'!I69/'Historical FS'!I70</f>
        <v>0.11949078240604925</v>
      </c>
      <c r="J27" s="67">
        <f>'Historical FS'!J69/'Historical FS'!J70</f>
        <v>0.12908671211031764</v>
      </c>
    </row>
    <row r="28" spans="2:10">
      <c r="C28" s="67"/>
      <c r="D28" s="67"/>
      <c r="E28" s="67"/>
      <c r="F28" s="67"/>
      <c r="G28" s="67"/>
      <c r="H28" s="67"/>
      <c r="I28" s="67"/>
      <c r="J28" s="67"/>
    </row>
    <row r="29" spans="2:10">
      <c r="B29" s="22" t="s">
        <v>155</v>
      </c>
      <c r="C29" s="66">
        <f>C5</f>
        <v>1</v>
      </c>
      <c r="D29" s="66">
        <f t="shared" ref="D29:J29" si="0">D5</f>
        <v>1</v>
      </c>
      <c r="E29" s="66">
        <f t="shared" si="0"/>
        <v>1</v>
      </c>
      <c r="F29" s="66">
        <f t="shared" si="0"/>
        <v>1</v>
      </c>
      <c r="G29" s="66">
        <f t="shared" si="0"/>
        <v>1</v>
      </c>
      <c r="H29" s="66">
        <f t="shared" si="0"/>
        <v>1</v>
      </c>
      <c r="I29" s="66">
        <f t="shared" si="0"/>
        <v>1</v>
      </c>
      <c r="J29" s="66">
        <f t="shared" si="0"/>
        <v>1</v>
      </c>
    </row>
    <row r="30" spans="2:10">
      <c r="B30" s="2" t="s">
        <v>88</v>
      </c>
      <c r="C30" s="67">
        <f>'Historical FS'!C72/'Historical FS'!$C$84</f>
        <v>3.3791852605601497E-3</v>
      </c>
      <c r="D30" s="67">
        <f>'Historical FS'!D72/'Historical FS'!$C$84</f>
        <v>3.6940198848595734E-3</v>
      </c>
      <c r="E30" s="67">
        <f>'Historical FS'!E72/'Historical FS'!$C$84</f>
        <v>4.059658740213949E-3</v>
      </c>
      <c r="F30" s="67">
        <f>'Historical FS'!F72/'Historical FS'!$C$84</f>
        <v>4.9752796961269599E-3</v>
      </c>
      <c r="G30" s="67">
        <f>'Historical FS'!G72/'Historical FS'!$C$84</f>
        <v>6.5217456380201157E-3</v>
      </c>
      <c r="H30" s="67">
        <f>'Historical FS'!H72/'Historical FS'!$C$84</f>
        <v>9.7491524847921653E-3</v>
      </c>
      <c r="I30" s="67">
        <f>'Historical FS'!I72/'Historical FS'!$C$84</f>
        <v>1.180219106550821E-2</v>
      </c>
      <c r="J30" s="67">
        <f>'Historical FS'!J72/'Historical FS'!$C$84</f>
        <v>1.2756433447373927E-2</v>
      </c>
    </row>
    <row r="31" spans="2:10">
      <c r="B31" s="3" t="s">
        <v>89</v>
      </c>
      <c r="C31" s="67">
        <f>'Historical FS'!C73/'Historical FS'!$C$84</f>
        <v>0</v>
      </c>
      <c r="D31" s="67">
        <f>'Historical FS'!D73/'Historical FS'!$C$84</f>
        <v>0</v>
      </c>
      <c r="E31" s="67">
        <f>'Historical FS'!E73/'Historical FS'!$C$84</f>
        <v>0</v>
      </c>
      <c r="F31" s="67">
        <f>'Historical FS'!F73/'Historical FS'!$C$84</f>
        <v>0</v>
      </c>
      <c r="G31" s="67">
        <f>'Historical FS'!G73/'Historical FS'!$C$84</f>
        <v>0</v>
      </c>
      <c r="H31" s="67">
        <f>'Historical FS'!H73/'Historical FS'!$C$84</f>
        <v>0</v>
      </c>
      <c r="I31" s="67">
        <f>'Historical FS'!I73/'Historical FS'!$C$84</f>
        <v>0</v>
      </c>
      <c r="J31" s="67">
        <f>'Historical FS'!J73/'Historical FS'!$C$84</f>
        <v>0</v>
      </c>
    </row>
    <row r="32" spans="2:10">
      <c r="B32" s="3" t="s">
        <v>90</v>
      </c>
      <c r="C32" s="67">
        <f>'Historical FS'!C74/'Historical FS'!$C$84</f>
        <v>0.22388969027681657</v>
      </c>
      <c r="D32" s="67">
        <f>'Historical FS'!D74/'Historical FS'!$C$84</f>
        <v>0.30113183055170756</v>
      </c>
      <c r="E32" s="67">
        <f>'Historical FS'!E74/'Historical FS'!$C$84</f>
        <v>0.33943469355499667</v>
      </c>
      <c r="F32" s="67">
        <f>'Historical FS'!F74/'Historical FS'!$C$84</f>
        <v>0.34751073307063279</v>
      </c>
      <c r="G32" s="67">
        <f>'Historical FS'!G74/'Historical FS'!$C$84</f>
        <v>0.39571430265418611</v>
      </c>
      <c r="H32" s="67">
        <f>'Historical FS'!H74/'Historical FS'!$C$84</f>
        <v>0.77790624083799864</v>
      </c>
      <c r="I32" s="67">
        <f>'Historical FS'!I74/'Historical FS'!$C$84</f>
        <v>0.91775034780748277</v>
      </c>
      <c r="J32" s="67">
        <f>'Historical FS'!J74/'Historical FS'!$C$84</f>
        <v>0.99026193966918652</v>
      </c>
    </row>
    <row r="33" spans="2:10">
      <c r="B33" s="3" t="s">
        <v>91</v>
      </c>
      <c r="C33" s="67">
        <f>'Historical FS'!C76/'Historical FS'!$C$84</f>
        <v>0.73652723888417837</v>
      </c>
      <c r="D33" s="67">
        <f>'Historical FS'!D76/'Historical FS'!$C$84</f>
        <v>0.86210852982696051</v>
      </c>
      <c r="E33" s="67">
        <f>'Historical FS'!E76/'Historical FS'!$C$84</f>
        <v>0.97312752432072691</v>
      </c>
      <c r="F33" s="67">
        <f>'Historical FS'!F76/'Historical FS'!$C$84</f>
        <v>1.1890477030767446</v>
      </c>
      <c r="G33" s="67">
        <f>'Historical FS'!G76/'Historical FS'!$C$84</f>
        <v>1.4644351315558466</v>
      </c>
      <c r="H33" s="67">
        <f>'Historical FS'!H76/'Historical FS'!$C$84</f>
        <v>2.1915050174089963</v>
      </c>
      <c r="I33" s="67">
        <f>'Historical FS'!I76/'Historical FS'!$C$84</f>
        <v>2.3561071291988642</v>
      </c>
      <c r="J33" s="67">
        <f>'Historical FS'!J76/'Historical FS'!$C$84</f>
        <v>2.6378954885649444</v>
      </c>
    </row>
    <row r="34" spans="2:10">
      <c r="B34" s="1" t="s">
        <v>92</v>
      </c>
      <c r="C34" s="66">
        <f>'Historical FS'!C77/'Historical FS'!$C$84</f>
        <v>0.96379611442155522</v>
      </c>
      <c r="D34" s="66">
        <f>'Historical FS'!D77/'Historical FS'!$C$84</f>
        <v>1.1669343802635277</v>
      </c>
      <c r="E34" s="66">
        <f>'Historical FS'!E77/'Historical FS'!$C$84</f>
        <v>1.3166218766159374</v>
      </c>
      <c r="F34" s="66">
        <f>'Historical FS'!F77/'Historical FS'!$C$84</f>
        <v>1.5415337158435043</v>
      </c>
      <c r="G34" s="66">
        <f>'Historical FS'!G77/'Historical FS'!$C$84</f>
        <v>1.8666711798480526</v>
      </c>
      <c r="H34" s="66">
        <f>'Historical FS'!H77/'Historical FS'!$C$84</f>
        <v>2.9791604107317871</v>
      </c>
      <c r="I34" s="66">
        <f>'Historical FS'!I77/'Historical FS'!$C$84</f>
        <v>3.2856596680718555</v>
      </c>
      <c r="J34" s="66">
        <f>'Historical FS'!J77/'Historical FS'!$C$84</f>
        <v>3.6409138616815051</v>
      </c>
    </row>
    <row r="35" spans="2:10">
      <c r="B35" s="2" t="s">
        <v>95</v>
      </c>
      <c r="C35" s="67">
        <f>'Historical FS'!C81/'Historical FS'!$C$84</f>
        <v>3.6203885578444721E-2</v>
      </c>
      <c r="D35" s="67">
        <f>'Historical FS'!D81/'Historical FS'!$C$84</f>
        <v>5.5856034237348771E-2</v>
      </c>
      <c r="E35" s="67">
        <f>'Historical FS'!E81/'Historical FS'!$C$84</f>
        <v>7.531707916110611E-2</v>
      </c>
      <c r="F35" s="67">
        <f>'Historical FS'!F81/'Historical FS'!$C$84</f>
        <v>0.10058024109438686</v>
      </c>
      <c r="G35" s="67">
        <f>'Historical FS'!G81/'Historical FS'!$C$84</f>
        <v>9.064724814682322E-2</v>
      </c>
      <c r="H35" s="67">
        <f>'Historical FS'!H81/'Historical FS'!$C$84</f>
        <v>0.13824093490428657</v>
      </c>
      <c r="I35" s="67">
        <f>'Historical FS'!I81/'Historical FS'!$C$84</f>
        <v>0.11168750948663429</v>
      </c>
      <c r="J35" s="67">
        <f>'Historical FS'!J81/'Historical FS'!$C$84</f>
        <v>0.15524924468348764</v>
      </c>
    </row>
    <row r="36" spans="2:10">
      <c r="B36" s="1" t="s">
        <v>96</v>
      </c>
      <c r="C36" s="66">
        <f>'Historical FS'!C82/'Historical FS'!$C$84</f>
        <v>3.6203885578444721E-2</v>
      </c>
      <c r="D36" s="66">
        <f>'Historical FS'!D82/'Historical FS'!$C$84</f>
        <v>5.5856034237348771E-2</v>
      </c>
      <c r="E36" s="66">
        <f>'Historical FS'!E82/'Historical FS'!$C$84</f>
        <v>7.531707916110611E-2</v>
      </c>
      <c r="F36" s="66">
        <f>'Historical FS'!F82/'Historical FS'!$C$84</f>
        <v>0.10058024109438686</v>
      </c>
      <c r="G36" s="66">
        <f>'Historical FS'!G82/'Historical FS'!$C$84</f>
        <v>9.064724814682322E-2</v>
      </c>
      <c r="H36" s="66">
        <f>'Historical FS'!H82/'Historical FS'!$C$84</f>
        <v>0.13824093490428657</v>
      </c>
      <c r="I36" s="66">
        <f>'Historical FS'!I82/'Historical FS'!$C$84</f>
        <v>0.11168750948663429</v>
      </c>
      <c r="J36" s="66">
        <f>'Historical FS'!J82/'Historical FS'!$C$84</f>
        <v>0.15524924468348764</v>
      </c>
    </row>
    <row r="37" spans="2:10">
      <c r="B37" s="2"/>
    </row>
  </sheetData>
  <mergeCells count="1">
    <mergeCell ref="B2:J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D16F4-AD7F-4109-990E-FB3ED70980C3}">
  <dimension ref="B2:Q29"/>
  <sheetViews>
    <sheetView showGridLines="0" topLeftCell="A24" zoomScale="122" workbookViewId="0">
      <selection activeCell="S14" sqref="S14"/>
    </sheetView>
  </sheetViews>
  <sheetFormatPr defaultRowHeight="14.45"/>
  <cols>
    <col min="2" max="2" width="45.140625" bestFit="1" customWidth="1"/>
    <col min="3" max="3" width="10.7109375" style="62" hidden="1" customWidth="1"/>
    <col min="4" max="9" width="11.7109375" style="62" hidden="1" customWidth="1"/>
    <col min="10" max="12" width="12" style="62" bestFit="1" customWidth="1"/>
    <col min="13" max="13" width="11.5703125" style="62" bestFit="1" customWidth="1"/>
    <col min="14" max="14" width="11.85546875" bestFit="1" customWidth="1"/>
  </cols>
  <sheetData>
    <row r="2" spans="2:17" ht="23.1">
      <c r="B2" s="58" t="s">
        <v>156</v>
      </c>
    </row>
    <row r="3" spans="2:17">
      <c r="B3" s="23"/>
    </row>
    <row r="4" spans="2:17">
      <c r="B4" s="63"/>
      <c r="C4" s="63">
        <v>42430</v>
      </c>
      <c r="D4" s="63">
        <v>42795</v>
      </c>
      <c r="E4" s="63">
        <v>43160</v>
      </c>
      <c r="F4" s="63">
        <v>43525</v>
      </c>
      <c r="G4" s="63">
        <v>43891</v>
      </c>
      <c r="J4" s="63">
        <v>44621</v>
      </c>
      <c r="K4" s="63">
        <v>44986</v>
      </c>
      <c r="L4" s="63">
        <v>45352</v>
      </c>
      <c r="M4" s="63">
        <v>45717</v>
      </c>
      <c r="N4" s="63">
        <v>46082</v>
      </c>
    </row>
    <row r="5" spans="2:17">
      <c r="B5" s="59" t="s">
        <v>157</v>
      </c>
      <c r="C5" s="84">
        <v>-21281</v>
      </c>
      <c r="D5" s="84">
        <v>-34435</v>
      </c>
      <c r="E5" s="84">
        <v>17282</v>
      </c>
      <c r="F5" s="84">
        <v>17214</v>
      </c>
      <c r="G5" s="84">
        <v>-62872</v>
      </c>
      <c r="H5" s="84">
        <v>-16869</v>
      </c>
      <c r="I5" s="84">
        <v>42476</v>
      </c>
      <c r="J5" s="84">
        <v>-11960</v>
      </c>
      <c r="K5" s="84">
        <v>20814</v>
      </c>
      <c r="L5" s="84">
        <v>19069</v>
      </c>
      <c r="M5" s="84">
        <v>127242</v>
      </c>
      <c r="N5" s="85">
        <f>Sheet1!N4</f>
        <v>113506</v>
      </c>
    </row>
    <row r="6" spans="2:17">
      <c r="B6" s="60" t="s">
        <v>101</v>
      </c>
      <c r="C6" s="86">
        <v>19196</v>
      </c>
      <c r="D6" s="86">
        <v>23481</v>
      </c>
      <c r="E6" s="86">
        <v>28573</v>
      </c>
      <c r="F6" s="86">
        <v>36737</v>
      </c>
      <c r="G6" s="86">
        <v>44497</v>
      </c>
      <c r="H6" s="86">
        <v>54764</v>
      </c>
      <c r="I6" s="86">
        <v>65619</v>
      </c>
      <c r="J6" s="86">
        <v>70781</v>
      </c>
      <c r="K6" s="86">
        <v>79722</v>
      </c>
      <c r="L6" s="86">
        <v>91618</v>
      </c>
      <c r="M6" s="86">
        <v>117642</v>
      </c>
      <c r="N6" s="87">
        <f>Sheet1!N5</f>
        <v>133545</v>
      </c>
    </row>
    <row r="7" spans="2:17">
      <c r="B7" s="60" t="s">
        <v>158</v>
      </c>
      <c r="C7" s="86">
        <v>-70356</v>
      </c>
      <c r="D7" s="86">
        <v>-106601</v>
      </c>
      <c r="E7" s="86">
        <v>-101890</v>
      </c>
      <c r="F7" s="86">
        <v>-120305</v>
      </c>
      <c r="G7" s="86">
        <v>-176608</v>
      </c>
      <c r="H7" s="86">
        <v>-185500</v>
      </c>
      <c r="I7" s="86">
        <v>-155681</v>
      </c>
      <c r="J7" s="86">
        <v>-248946</v>
      </c>
      <c r="K7" s="86">
        <v>-254569</v>
      </c>
      <c r="L7" s="86">
        <v>-312488</v>
      </c>
      <c r="M7" s="86">
        <v>-169918</v>
      </c>
      <c r="N7" s="87">
        <f>Sheet1!N6</f>
        <v>-340271</v>
      </c>
    </row>
    <row r="8" spans="2:17">
      <c r="B8" s="60" t="s">
        <v>159</v>
      </c>
      <c r="C8" s="86">
        <v>-45020</v>
      </c>
      <c r="D8" s="86">
        <v>-39116</v>
      </c>
      <c r="E8" s="86">
        <v>-17326</v>
      </c>
      <c r="F8" s="86">
        <v>-28231</v>
      </c>
      <c r="G8" s="86">
        <v>-51458</v>
      </c>
      <c r="H8" s="86">
        <v>-101070</v>
      </c>
      <c r="I8" s="86">
        <v>-50157</v>
      </c>
      <c r="J8" s="86">
        <v>-10849</v>
      </c>
      <c r="K8" s="86">
        <v>-64182</v>
      </c>
      <c r="L8" s="86">
        <v>-88412</v>
      </c>
      <c r="M8" s="86">
        <v>-180363</v>
      </c>
      <c r="N8" s="87">
        <f>Sheet1!N7</f>
        <v>-102573</v>
      </c>
    </row>
    <row r="9" spans="2:17">
      <c r="B9" s="60" t="s">
        <v>160</v>
      </c>
      <c r="C9" s="86">
        <v>83203</v>
      </c>
      <c r="D9" s="86">
        <v>95590</v>
      </c>
      <c r="E9" s="86">
        <v>97261</v>
      </c>
      <c r="F9" s="86">
        <v>145241</v>
      </c>
      <c r="G9" s="86">
        <v>134128</v>
      </c>
      <c r="H9" s="86">
        <v>223704</v>
      </c>
      <c r="I9" s="86">
        <v>187514</v>
      </c>
      <c r="J9" s="86">
        <v>224282</v>
      </c>
      <c r="K9" s="86">
        <v>324660</v>
      </c>
      <c r="L9" s="86">
        <v>336965</v>
      </c>
      <c r="M9" s="86">
        <v>334011</v>
      </c>
      <c r="N9" s="87">
        <f>Sheet1!N8</f>
        <v>388740</v>
      </c>
    </row>
    <row r="10" spans="2:17">
      <c r="B10" s="60" t="s">
        <v>103</v>
      </c>
      <c r="C10" s="86">
        <v>-2656</v>
      </c>
      <c r="D10" s="86">
        <v>-716</v>
      </c>
      <c r="E10" s="86">
        <v>18348</v>
      </c>
      <c r="F10" s="86">
        <v>-6218</v>
      </c>
      <c r="G10" s="86">
        <v>-932</v>
      </c>
      <c r="H10" s="86">
        <v>2110</v>
      </c>
      <c r="I10" s="86">
        <v>8203</v>
      </c>
      <c r="J10" s="86">
        <v>-32389</v>
      </c>
      <c r="K10" s="86">
        <v>-48450</v>
      </c>
      <c r="L10" s="86">
        <v>14229</v>
      </c>
      <c r="M10" s="86">
        <v>45578</v>
      </c>
      <c r="N10" s="87">
        <f>Sheet1!N9</f>
        <v>56721</v>
      </c>
      <c r="Q10">
        <v>2</v>
      </c>
    </row>
    <row r="11" spans="2:17">
      <c r="B11" s="60" t="s">
        <v>104</v>
      </c>
      <c r="C11" s="86">
        <v>-34829</v>
      </c>
      <c r="D11" s="86">
        <v>-50844</v>
      </c>
      <c r="E11" s="86">
        <v>-3607</v>
      </c>
      <c r="F11" s="86">
        <v>-9513</v>
      </c>
      <c r="G11" s="86">
        <v>-94870</v>
      </c>
      <c r="H11" s="86">
        <v>-60756</v>
      </c>
      <c r="I11" s="86">
        <v>-10121</v>
      </c>
      <c r="J11" s="86">
        <v>-67902</v>
      </c>
      <c r="K11" s="86">
        <v>-42541</v>
      </c>
      <c r="L11" s="86">
        <v>-49706</v>
      </c>
      <c r="M11" s="86">
        <v>29308</v>
      </c>
      <c r="N11" s="87">
        <f>Sheet1!N10</f>
        <v>2617</v>
      </c>
    </row>
    <row r="12" spans="2:17">
      <c r="B12" s="60" t="s">
        <v>105</v>
      </c>
      <c r="C12" s="86">
        <v>-5647</v>
      </c>
      <c r="D12" s="86">
        <v>-7073</v>
      </c>
      <c r="E12" s="86">
        <v>-7685</v>
      </c>
      <c r="F12" s="86">
        <v>-10010</v>
      </c>
      <c r="G12" s="86">
        <v>-12498</v>
      </c>
      <c r="H12" s="86">
        <v>-10877</v>
      </c>
      <c r="I12" s="86">
        <v>-13021</v>
      </c>
      <c r="J12" s="86">
        <v>-14838</v>
      </c>
      <c r="K12" s="86">
        <v>-16367</v>
      </c>
      <c r="L12" s="86">
        <v>-22843</v>
      </c>
      <c r="M12" s="86">
        <v>-19709</v>
      </c>
      <c r="N12" s="87">
        <f>Sheet1!N11</f>
        <v>-22656</v>
      </c>
    </row>
    <row r="13" spans="2:17">
      <c r="B13" s="59" t="s">
        <v>161</v>
      </c>
      <c r="C13" s="84">
        <v>-800</v>
      </c>
      <c r="D13" s="84">
        <v>-837</v>
      </c>
      <c r="E13" s="84">
        <v>-1146</v>
      </c>
      <c r="F13" s="84">
        <v>-842</v>
      </c>
      <c r="G13" s="84">
        <v>-1503</v>
      </c>
      <c r="H13" s="84">
        <v>-1403</v>
      </c>
      <c r="I13" s="84">
        <v>-1823</v>
      </c>
      <c r="J13" s="84">
        <v>-2051</v>
      </c>
      <c r="K13" s="84">
        <v>-2992</v>
      </c>
      <c r="L13" s="84">
        <v>16600</v>
      </c>
      <c r="M13" s="84">
        <v>-3651</v>
      </c>
      <c r="N13" s="88">
        <f>Sheet1!N12</f>
        <v>7477</v>
      </c>
    </row>
    <row r="14" spans="2:17">
      <c r="B14" s="60" t="s">
        <v>108</v>
      </c>
      <c r="C14" s="86">
        <v>-772</v>
      </c>
      <c r="D14" s="86">
        <v>-877</v>
      </c>
      <c r="E14" s="86">
        <v>-1158</v>
      </c>
      <c r="F14" s="86">
        <v>-848</v>
      </c>
      <c r="G14" s="86">
        <v>-1621</v>
      </c>
      <c r="H14" s="86">
        <v>-1636</v>
      </c>
      <c r="I14" s="86">
        <v>-1696</v>
      </c>
      <c r="J14" s="86">
        <v>-2236</v>
      </c>
      <c r="K14" s="86">
        <v>-3467</v>
      </c>
      <c r="L14" s="86">
        <v>-4287</v>
      </c>
      <c r="M14" s="86">
        <v>-4076</v>
      </c>
      <c r="N14" s="87">
        <f>Sheet1!N13</f>
        <v>-3890</v>
      </c>
    </row>
    <row r="15" spans="2:17">
      <c r="B15" s="60" t="s">
        <v>109</v>
      </c>
      <c r="C15" s="86">
        <v>33</v>
      </c>
      <c r="D15" s="86">
        <v>12</v>
      </c>
      <c r="E15" s="86">
        <v>10</v>
      </c>
      <c r="F15" s="86">
        <v>10</v>
      </c>
      <c r="G15" s="86">
        <v>22</v>
      </c>
      <c r="H15" s="86">
        <v>19</v>
      </c>
      <c r="I15" s="86">
        <v>15</v>
      </c>
      <c r="J15" s="86">
        <v>20</v>
      </c>
      <c r="K15" s="86">
        <v>43</v>
      </c>
      <c r="L15" s="86">
        <v>100</v>
      </c>
      <c r="M15" s="86">
        <v>101</v>
      </c>
      <c r="N15" s="87">
        <f>Sheet1!N14</f>
        <v>528</v>
      </c>
    </row>
    <row r="16" spans="2:17">
      <c r="B16" s="60" t="s">
        <v>111</v>
      </c>
      <c r="C16" s="86">
        <v>0</v>
      </c>
      <c r="D16" s="86">
        <v>0</v>
      </c>
      <c r="E16" s="86">
        <v>0</v>
      </c>
      <c r="F16" s="86">
        <v>0</v>
      </c>
      <c r="G16" s="86">
        <v>0</v>
      </c>
      <c r="H16" s="86">
        <v>0</v>
      </c>
      <c r="I16" s="86">
        <v>0</v>
      </c>
      <c r="J16" s="86">
        <v>0</v>
      </c>
      <c r="K16" s="86">
        <v>0</v>
      </c>
      <c r="L16" s="86">
        <v>9501</v>
      </c>
      <c r="M16" s="86">
        <v>192</v>
      </c>
      <c r="N16" s="87">
        <f>Sheet1!N15</f>
        <v>9806</v>
      </c>
    </row>
    <row r="17" spans="2:14">
      <c r="B17" s="60" t="s">
        <v>162</v>
      </c>
      <c r="C17" s="86">
        <v>-72</v>
      </c>
      <c r="D17" s="86">
        <v>0</v>
      </c>
      <c r="E17" s="86">
        <v>0</v>
      </c>
      <c r="F17" s="86">
        <v>0</v>
      </c>
      <c r="G17" s="86">
        <v>0</v>
      </c>
      <c r="H17" s="86">
        <v>0</v>
      </c>
      <c r="I17" s="86">
        <v>0</v>
      </c>
      <c r="J17" s="86">
        <v>0</v>
      </c>
      <c r="K17" s="86">
        <v>0</v>
      </c>
      <c r="L17" s="86">
        <v>0</v>
      </c>
      <c r="M17" s="86">
        <v>-67</v>
      </c>
      <c r="N17" s="87">
        <f>Sheet1!N16</f>
        <v>-81</v>
      </c>
    </row>
    <row r="18" spans="2:14">
      <c r="B18" s="60" t="s">
        <v>114</v>
      </c>
      <c r="C18" s="86">
        <v>0</v>
      </c>
      <c r="D18" s="86">
        <v>0</v>
      </c>
      <c r="E18" s="86">
        <v>0</v>
      </c>
      <c r="F18" s="86">
        <v>-14</v>
      </c>
      <c r="G18" s="86">
        <v>0</v>
      </c>
      <c r="H18" s="86">
        <v>0</v>
      </c>
      <c r="I18" s="86">
        <v>0</v>
      </c>
      <c r="J18" s="86">
        <v>0</v>
      </c>
      <c r="K18" s="86">
        <v>0</v>
      </c>
      <c r="L18" s="86">
        <v>0</v>
      </c>
      <c r="M18" s="86">
        <v>0</v>
      </c>
      <c r="N18" s="87">
        <f>Sheet1!N17</f>
        <v>0</v>
      </c>
    </row>
    <row r="19" spans="2:14">
      <c r="B19" s="60" t="s">
        <v>115</v>
      </c>
      <c r="C19" s="86">
        <v>11</v>
      </c>
      <c r="D19" s="86">
        <v>28</v>
      </c>
      <c r="E19" s="86">
        <v>1</v>
      </c>
      <c r="F19" s="86">
        <v>11</v>
      </c>
      <c r="G19" s="86">
        <v>95</v>
      </c>
      <c r="H19" s="86">
        <v>214</v>
      </c>
      <c r="I19" s="86">
        <v>-142</v>
      </c>
      <c r="J19" s="86">
        <v>165</v>
      </c>
      <c r="K19" s="86">
        <v>432</v>
      </c>
      <c r="L19" s="86">
        <v>11287</v>
      </c>
      <c r="M19" s="86">
        <v>200</v>
      </c>
      <c r="N19" s="87">
        <f>Sheet1!N18</f>
        <v>1114</v>
      </c>
    </row>
    <row r="20" spans="2:14">
      <c r="B20" s="59" t="s">
        <v>163</v>
      </c>
      <c r="C20" s="84">
        <v>18694</v>
      </c>
      <c r="D20" s="84">
        <v>37815</v>
      </c>
      <c r="E20" s="84">
        <v>-5893</v>
      </c>
      <c r="F20" s="84">
        <v>57378</v>
      </c>
      <c r="G20" s="84">
        <v>23131</v>
      </c>
      <c r="H20" s="84">
        <v>24394</v>
      </c>
      <c r="I20" s="84">
        <v>-7321</v>
      </c>
      <c r="J20" s="84">
        <v>48124</v>
      </c>
      <c r="K20" s="84">
        <v>23941</v>
      </c>
      <c r="L20" s="84">
        <v>-3983</v>
      </c>
      <c r="M20" s="84">
        <v>-102478</v>
      </c>
      <c r="N20" s="88">
        <f>Sheet1!N19</f>
        <v>-59005</v>
      </c>
    </row>
    <row r="21" spans="2:14">
      <c r="B21" s="60" t="s">
        <v>118</v>
      </c>
      <c r="C21" s="86">
        <v>10718</v>
      </c>
      <c r="D21" s="86">
        <v>1223</v>
      </c>
      <c r="E21" s="86">
        <v>2262</v>
      </c>
      <c r="F21" s="86">
        <v>13006</v>
      </c>
      <c r="G21" s="86">
        <v>26690</v>
      </c>
      <c r="H21" s="86">
        <v>1849</v>
      </c>
      <c r="I21" s="86">
        <v>1760</v>
      </c>
      <c r="J21" s="86">
        <v>2610</v>
      </c>
      <c r="K21" s="86">
        <v>3416</v>
      </c>
      <c r="L21" s="86">
        <v>5250</v>
      </c>
      <c r="M21" s="86">
        <v>6346</v>
      </c>
      <c r="N21" s="87">
        <f>Sheet1!N20</f>
        <v>7565</v>
      </c>
    </row>
    <row r="22" spans="2:14">
      <c r="B22" s="60" t="s">
        <v>164</v>
      </c>
      <c r="C22" s="86">
        <v>0</v>
      </c>
      <c r="D22" s="86">
        <v>0</v>
      </c>
      <c r="E22" s="86">
        <v>0</v>
      </c>
      <c r="F22" s="86">
        <v>0</v>
      </c>
      <c r="G22" s="86">
        <v>0</v>
      </c>
      <c r="H22" s="86">
        <v>744</v>
      </c>
      <c r="I22" s="86">
        <v>356</v>
      </c>
      <c r="J22" s="86">
        <v>8313</v>
      </c>
      <c r="K22" s="86">
        <v>23000</v>
      </c>
      <c r="L22" s="86">
        <v>2350</v>
      </c>
      <c r="M22" s="86">
        <v>1182</v>
      </c>
      <c r="N22" s="87">
        <f>Sheet1!N21</f>
        <v>700</v>
      </c>
    </row>
    <row r="23" spans="2:14">
      <c r="B23" s="60" t="s">
        <v>165</v>
      </c>
      <c r="C23" s="86">
        <v>0</v>
      </c>
      <c r="D23" s="86">
        <v>0</v>
      </c>
      <c r="E23" s="86">
        <v>0</v>
      </c>
      <c r="F23" s="86">
        <v>0</v>
      </c>
      <c r="G23" s="86">
        <v>-2875</v>
      </c>
      <c r="H23" s="86">
        <v>0</v>
      </c>
      <c r="I23" s="86">
        <v>-1105</v>
      </c>
      <c r="J23" s="86">
        <v>-3650</v>
      </c>
      <c r="K23" s="86">
        <v>-12077</v>
      </c>
      <c r="L23" s="86">
        <v>-230</v>
      </c>
      <c r="M23" s="86">
        <v>0</v>
      </c>
      <c r="N23" s="87">
        <f>Sheet1!N22</f>
        <v>0</v>
      </c>
    </row>
    <row r="24" spans="2:14">
      <c r="B24" s="60" t="s">
        <v>119</v>
      </c>
      <c r="C24" s="86">
        <v>0</v>
      </c>
      <c r="D24" s="86">
        <v>0</v>
      </c>
      <c r="E24" s="86">
        <v>0</v>
      </c>
      <c r="F24" s="86">
        <v>0</v>
      </c>
      <c r="G24" s="86">
        <v>3266</v>
      </c>
      <c r="H24" s="86">
        <v>28358</v>
      </c>
      <c r="I24" s="86">
        <v>0</v>
      </c>
      <c r="J24" s="86">
        <v>44308</v>
      </c>
      <c r="K24" s="86">
        <v>18007</v>
      </c>
      <c r="L24" s="86">
        <v>0</v>
      </c>
      <c r="M24" s="86">
        <v>0</v>
      </c>
      <c r="N24" s="87">
        <f>Sheet1!N23</f>
        <v>0</v>
      </c>
    </row>
    <row r="25" spans="2:14">
      <c r="B25" s="60" t="s">
        <v>120</v>
      </c>
      <c r="C25" s="86">
        <v>0</v>
      </c>
      <c r="D25" s="86">
        <v>0</v>
      </c>
      <c r="E25" s="86">
        <v>0</v>
      </c>
      <c r="F25" s="86">
        <v>0</v>
      </c>
      <c r="G25" s="86">
        <v>0</v>
      </c>
      <c r="H25" s="86">
        <v>0</v>
      </c>
      <c r="I25" s="86">
        <v>-8389</v>
      </c>
      <c r="J25" s="86">
        <v>0</v>
      </c>
      <c r="K25" s="86">
        <v>0</v>
      </c>
      <c r="L25" s="86">
        <v>-7343</v>
      </c>
      <c r="M25" s="86">
        <v>-97063</v>
      </c>
      <c r="N25" s="87">
        <f>Sheet1!N24</f>
        <v>-48895</v>
      </c>
    </row>
    <row r="26" spans="2:14">
      <c r="B26" s="60" t="s">
        <v>166</v>
      </c>
      <c r="C26" s="86">
        <v>-1649</v>
      </c>
      <c r="D26" s="86">
        <v>-2009</v>
      </c>
      <c r="E26" s="86">
        <v>-2408</v>
      </c>
      <c r="F26" s="86">
        <v>-2831</v>
      </c>
      <c r="G26" s="86">
        <v>-4096</v>
      </c>
      <c r="H26" s="86">
        <v>-6631</v>
      </c>
      <c r="I26" s="86">
        <v>0</v>
      </c>
      <c r="J26" s="86">
        <v>-3592</v>
      </c>
      <c r="K26" s="86">
        <v>-8605</v>
      </c>
      <c r="L26" s="86">
        <v>-8404</v>
      </c>
      <c r="M26" s="86">
        <v>-14826</v>
      </c>
      <c r="N26" s="87">
        <f>Sheet1!N25</f>
        <v>-20706</v>
      </c>
    </row>
    <row r="27" spans="2:14">
      <c r="B27" s="60" t="s">
        <v>123</v>
      </c>
      <c r="C27" s="86">
        <v>9625</v>
      </c>
      <c r="D27" s="86">
        <v>38601</v>
      </c>
      <c r="E27" s="86">
        <v>-5746</v>
      </c>
      <c r="F27" s="86">
        <v>47203</v>
      </c>
      <c r="G27" s="86">
        <v>145</v>
      </c>
      <c r="H27" s="86">
        <v>75</v>
      </c>
      <c r="I27" s="86">
        <v>56</v>
      </c>
      <c r="J27" s="86">
        <v>136</v>
      </c>
      <c r="K27" s="86">
        <v>199</v>
      </c>
      <c r="L27" s="86">
        <v>4394</v>
      </c>
      <c r="M27" s="86">
        <v>1883</v>
      </c>
      <c r="N27" s="87">
        <f>Sheet1!N26</f>
        <v>2331</v>
      </c>
    </row>
    <row r="28" spans="2:14">
      <c r="B28" s="61" t="s">
        <v>167</v>
      </c>
      <c r="C28" s="86">
        <v>-3387</v>
      </c>
      <c r="D28" s="86">
        <v>2542</v>
      </c>
      <c r="E28" s="86">
        <v>10242</v>
      </c>
      <c r="F28" s="86">
        <v>73750</v>
      </c>
      <c r="G28" s="86">
        <v>-41244</v>
      </c>
      <c r="H28" s="86">
        <v>6122</v>
      </c>
      <c r="I28" s="86">
        <v>33332</v>
      </c>
      <c r="J28" s="87">
        <f t="shared" ref="J28:L28" si="0">J20+J13+J5</f>
        <v>34113</v>
      </c>
      <c r="K28" s="87">
        <f t="shared" si="0"/>
        <v>41763</v>
      </c>
      <c r="L28" s="87">
        <f t="shared" si="0"/>
        <v>31686</v>
      </c>
      <c r="M28" s="87">
        <f>M20+M13+M5</f>
        <v>21113</v>
      </c>
      <c r="N28" s="87">
        <f>N20+N13+N5</f>
        <v>61978</v>
      </c>
    </row>
    <row r="29" spans="2:14">
      <c r="B29" s="56" t="s">
        <v>168</v>
      </c>
      <c r="C29" s="57"/>
      <c r="D29" s="57"/>
      <c r="E29" s="57"/>
      <c r="F29" s="57"/>
      <c r="G29" s="57"/>
      <c r="H29" s="57"/>
      <c r="I29" s="57"/>
      <c r="J29" s="57"/>
      <c r="K29" s="81">
        <f>K28/J28-1</f>
        <v>0.22425468296543838</v>
      </c>
      <c r="L29" s="81">
        <f>L28/K28-1</f>
        <v>-0.24129013720278714</v>
      </c>
      <c r="M29" s="81">
        <f>M28/L28-1</f>
        <v>-0.33368048980622356</v>
      </c>
      <c r="N29" s="81">
        <f>N28/M28-1</f>
        <v>1.9355373466584567</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7BB8F-5D97-4BF9-B480-A82E153B6034}">
  <dimension ref="B3:N27"/>
  <sheetViews>
    <sheetView workbookViewId="0"/>
  </sheetViews>
  <sheetFormatPr defaultRowHeight="14.45"/>
  <cols>
    <col min="3" max="3" width="8.85546875" bestFit="1" customWidth="1"/>
    <col min="4" max="14" width="9.140625" bestFit="1" customWidth="1"/>
  </cols>
  <sheetData>
    <row r="3" spans="2:14" ht="42.95" thickBot="1">
      <c r="B3" s="68" t="s">
        <v>169</v>
      </c>
      <c r="C3" s="69">
        <v>42430</v>
      </c>
      <c r="D3" s="69">
        <v>42795</v>
      </c>
      <c r="E3" s="69">
        <v>43160</v>
      </c>
      <c r="F3" s="69">
        <v>43525</v>
      </c>
      <c r="G3" s="69">
        <v>43891</v>
      </c>
      <c r="H3" s="69">
        <v>44256</v>
      </c>
      <c r="I3" s="69">
        <v>44621</v>
      </c>
      <c r="J3" s="69">
        <v>44986</v>
      </c>
      <c r="K3" s="69">
        <v>45352</v>
      </c>
      <c r="L3" s="69">
        <v>45717</v>
      </c>
      <c r="M3" s="69">
        <v>46082</v>
      </c>
      <c r="N3" s="55"/>
    </row>
    <row r="4" spans="2:14" ht="15.6" thickTop="1" thickBot="1">
      <c r="B4" s="70" t="s">
        <v>170</v>
      </c>
      <c r="C4" s="71">
        <v>-21281</v>
      </c>
      <c r="D4" s="71">
        <v>-34435</v>
      </c>
      <c r="E4" s="71">
        <v>17282</v>
      </c>
      <c r="F4" s="71">
        <v>17214</v>
      </c>
      <c r="G4" s="71">
        <v>-62872</v>
      </c>
      <c r="H4" s="71">
        <v>-16869</v>
      </c>
      <c r="I4" s="71">
        <v>42476</v>
      </c>
      <c r="J4" s="71">
        <v>-11960</v>
      </c>
      <c r="K4" s="71">
        <v>20814</v>
      </c>
      <c r="L4" s="71">
        <v>19069</v>
      </c>
      <c r="M4" s="71">
        <v>127242</v>
      </c>
      <c r="N4" s="71">
        <v>113506</v>
      </c>
    </row>
    <row r="5" spans="2:14" ht="15" thickTop="1">
      <c r="B5" s="70" t="s">
        <v>101</v>
      </c>
      <c r="C5" s="71">
        <v>19196</v>
      </c>
      <c r="D5" s="71">
        <v>23481</v>
      </c>
      <c r="E5" s="71">
        <v>28573</v>
      </c>
      <c r="F5" s="71">
        <v>36737</v>
      </c>
      <c r="G5" s="71">
        <v>44497</v>
      </c>
      <c r="H5" s="71">
        <v>54764</v>
      </c>
      <c r="I5" s="71">
        <v>65619</v>
      </c>
      <c r="J5" s="71">
        <v>70781</v>
      </c>
      <c r="K5" s="71">
        <v>79722</v>
      </c>
      <c r="L5" s="71">
        <v>91618</v>
      </c>
      <c r="M5" s="71">
        <v>117642</v>
      </c>
      <c r="N5" s="71">
        <v>133545</v>
      </c>
    </row>
    <row r="6" spans="2:14">
      <c r="B6" s="72" t="s">
        <v>158</v>
      </c>
      <c r="C6" s="74">
        <v>-70356</v>
      </c>
      <c r="D6" s="74">
        <v>-106601</v>
      </c>
      <c r="E6" s="74">
        <v>-101890</v>
      </c>
      <c r="F6" s="74">
        <v>-120305</v>
      </c>
      <c r="G6" s="74">
        <v>-176608</v>
      </c>
      <c r="H6" s="74">
        <v>-185500</v>
      </c>
      <c r="I6" s="74">
        <v>-155681</v>
      </c>
      <c r="J6" s="74">
        <v>-248946</v>
      </c>
      <c r="K6" s="74">
        <v>-254569</v>
      </c>
      <c r="L6" s="74">
        <v>-312488</v>
      </c>
      <c r="M6" s="74">
        <v>-169918</v>
      </c>
      <c r="N6" s="74">
        <v>-340271</v>
      </c>
    </row>
    <row r="7" spans="2:14">
      <c r="B7" s="72" t="s">
        <v>159</v>
      </c>
      <c r="C7" s="74">
        <v>-45020</v>
      </c>
      <c r="D7" s="74">
        <v>-39116</v>
      </c>
      <c r="E7" s="74">
        <v>-17326</v>
      </c>
      <c r="F7" s="74">
        <v>-28231</v>
      </c>
      <c r="G7" s="74">
        <v>-51458</v>
      </c>
      <c r="H7" s="74">
        <v>-101070</v>
      </c>
      <c r="I7" s="74">
        <v>-50157</v>
      </c>
      <c r="J7" s="74">
        <v>-10849</v>
      </c>
      <c r="K7" s="74">
        <v>-64182</v>
      </c>
      <c r="L7" s="74">
        <v>-88412</v>
      </c>
      <c r="M7" s="74">
        <v>-180363</v>
      </c>
      <c r="N7" s="74">
        <v>-102573</v>
      </c>
    </row>
    <row r="8" spans="2:14">
      <c r="B8" s="72" t="s">
        <v>160</v>
      </c>
      <c r="C8" s="74">
        <v>83203</v>
      </c>
      <c r="D8" s="74">
        <v>95590</v>
      </c>
      <c r="E8" s="74">
        <v>97261</v>
      </c>
      <c r="F8" s="74">
        <v>145241</v>
      </c>
      <c r="G8" s="74">
        <v>134128</v>
      </c>
      <c r="H8" s="74">
        <v>223704</v>
      </c>
      <c r="I8" s="74">
        <v>187514</v>
      </c>
      <c r="J8" s="74">
        <v>224282</v>
      </c>
      <c r="K8" s="74">
        <v>324660</v>
      </c>
      <c r="L8" s="74">
        <v>336965</v>
      </c>
      <c r="M8" s="74">
        <v>334011</v>
      </c>
      <c r="N8" s="74">
        <v>388740</v>
      </c>
    </row>
    <row r="9" spans="2:14" ht="15" thickBot="1">
      <c r="B9" s="72" t="s">
        <v>103</v>
      </c>
      <c r="C9" s="74">
        <v>-2656</v>
      </c>
      <c r="D9" s="73">
        <v>-716</v>
      </c>
      <c r="E9" s="74">
        <v>18348</v>
      </c>
      <c r="F9" s="74">
        <v>-6218</v>
      </c>
      <c r="G9" s="73">
        <v>-932</v>
      </c>
      <c r="H9" s="74">
        <v>2110</v>
      </c>
      <c r="I9" s="74">
        <v>8203</v>
      </c>
      <c r="J9" s="74">
        <v>-32389</v>
      </c>
      <c r="K9" s="74">
        <v>-48450</v>
      </c>
      <c r="L9" s="74">
        <v>14229</v>
      </c>
      <c r="M9" s="74">
        <v>45578</v>
      </c>
      <c r="N9" s="74">
        <v>56721</v>
      </c>
    </row>
    <row r="10" spans="2:14" ht="15" thickTop="1">
      <c r="B10" s="70" t="s">
        <v>104</v>
      </c>
      <c r="C10" s="71">
        <v>-34829</v>
      </c>
      <c r="D10" s="71">
        <v>-50844</v>
      </c>
      <c r="E10" s="71">
        <v>-3607</v>
      </c>
      <c r="F10" s="71">
        <v>-9513</v>
      </c>
      <c r="G10" s="71">
        <v>-94870</v>
      </c>
      <c r="H10" s="71">
        <v>-60756</v>
      </c>
      <c r="I10" s="71">
        <v>-10121</v>
      </c>
      <c r="J10" s="71">
        <v>-67902</v>
      </c>
      <c r="K10" s="71">
        <v>-42541</v>
      </c>
      <c r="L10" s="71">
        <v>-49706</v>
      </c>
      <c r="M10" s="71">
        <v>29308</v>
      </c>
      <c r="N10" s="71">
        <v>2617</v>
      </c>
    </row>
    <row r="11" spans="2:14" ht="15" thickBot="1">
      <c r="B11" s="72" t="s">
        <v>105</v>
      </c>
      <c r="C11" s="74">
        <v>-5647</v>
      </c>
      <c r="D11" s="74">
        <v>-7073</v>
      </c>
      <c r="E11" s="74">
        <v>-7685</v>
      </c>
      <c r="F11" s="74">
        <v>-10010</v>
      </c>
      <c r="G11" s="74">
        <v>-12498</v>
      </c>
      <c r="H11" s="74">
        <v>-10877</v>
      </c>
      <c r="I11" s="74">
        <v>-13021</v>
      </c>
      <c r="J11" s="74">
        <v>-14838</v>
      </c>
      <c r="K11" s="74">
        <v>-16367</v>
      </c>
      <c r="L11" s="74">
        <v>-22843</v>
      </c>
      <c r="M11" s="74">
        <v>-19709</v>
      </c>
      <c r="N11" s="74">
        <v>-22656</v>
      </c>
    </row>
    <row r="12" spans="2:14" ht="15" thickTop="1">
      <c r="B12" s="75" t="s">
        <v>171</v>
      </c>
      <c r="C12" s="76">
        <v>-800</v>
      </c>
      <c r="D12" s="76">
        <v>-837</v>
      </c>
      <c r="E12" s="77">
        <v>-1146</v>
      </c>
      <c r="F12" s="76">
        <v>-842</v>
      </c>
      <c r="G12" s="77">
        <v>-1503</v>
      </c>
      <c r="H12" s="77">
        <v>-1403</v>
      </c>
      <c r="I12" s="77">
        <v>-1823</v>
      </c>
      <c r="J12" s="77">
        <v>-2051</v>
      </c>
      <c r="K12" s="77">
        <v>-2992</v>
      </c>
      <c r="L12" s="77">
        <v>16600</v>
      </c>
      <c r="M12" s="77">
        <v>-3651</v>
      </c>
      <c r="N12" s="77">
        <v>7477</v>
      </c>
    </row>
    <row r="13" spans="2:14">
      <c r="B13" s="78" t="s">
        <v>108</v>
      </c>
      <c r="C13" s="79">
        <v>-772</v>
      </c>
      <c r="D13" s="79">
        <v>-877</v>
      </c>
      <c r="E13" s="80">
        <v>-1158</v>
      </c>
      <c r="F13" s="79">
        <v>-848</v>
      </c>
      <c r="G13" s="80">
        <v>-1621</v>
      </c>
      <c r="H13" s="80">
        <v>-1636</v>
      </c>
      <c r="I13" s="80">
        <v>-1696</v>
      </c>
      <c r="J13" s="80">
        <v>-2236</v>
      </c>
      <c r="K13" s="80">
        <v>-3467</v>
      </c>
      <c r="L13" s="80">
        <v>-4287</v>
      </c>
      <c r="M13" s="80">
        <v>-4076</v>
      </c>
      <c r="N13" s="80">
        <v>-3890</v>
      </c>
    </row>
    <row r="14" spans="2:14">
      <c r="B14" s="78" t="s">
        <v>109</v>
      </c>
      <c r="C14" s="79">
        <v>33</v>
      </c>
      <c r="D14" s="79">
        <v>12</v>
      </c>
      <c r="E14" s="79">
        <v>10</v>
      </c>
      <c r="F14" s="79">
        <v>10</v>
      </c>
      <c r="G14" s="79">
        <v>22</v>
      </c>
      <c r="H14" s="79">
        <v>19</v>
      </c>
      <c r="I14" s="79">
        <v>15</v>
      </c>
      <c r="J14" s="79">
        <v>20</v>
      </c>
      <c r="K14" s="79">
        <v>43</v>
      </c>
      <c r="L14" s="79">
        <v>100</v>
      </c>
      <c r="M14" s="79">
        <v>101</v>
      </c>
      <c r="N14" s="79">
        <v>528</v>
      </c>
    </row>
    <row r="15" spans="2:14">
      <c r="B15" s="78" t="s">
        <v>111</v>
      </c>
      <c r="C15" s="79">
        <v>0</v>
      </c>
      <c r="D15" s="79">
        <v>0</v>
      </c>
      <c r="E15" s="79">
        <v>0</v>
      </c>
      <c r="F15" s="79">
        <v>0</v>
      </c>
      <c r="G15" s="79">
        <v>0</v>
      </c>
      <c r="H15" s="79">
        <v>0</v>
      </c>
      <c r="I15" s="79">
        <v>0</v>
      </c>
      <c r="J15" s="79">
        <v>0</v>
      </c>
      <c r="K15" s="79">
        <v>0</v>
      </c>
      <c r="L15" s="80">
        <v>9501</v>
      </c>
      <c r="M15" s="79">
        <v>192</v>
      </c>
      <c r="N15" s="80">
        <v>9806</v>
      </c>
    </row>
    <row r="16" spans="2:14">
      <c r="B16" s="78" t="s">
        <v>162</v>
      </c>
      <c r="C16" s="79">
        <v>-72</v>
      </c>
      <c r="D16" s="79">
        <v>0</v>
      </c>
      <c r="E16" s="79">
        <v>0</v>
      </c>
      <c r="F16" s="79">
        <v>0</v>
      </c>
      <c r="G16" s="79">
        <v>0</v>
      </c>
      <c r="H16" s="79">
        <v>0</v>
      </c>
      <c r="I16" s="79">
        <v>0</v>
      </c>
      <c r="J16" s="79">
        <v>0</v>
      </c>
      <c r="K16" s="79">
        <v>0</v>
      </c>
      <c r="L16" s="79">
        <v>0</v>
      </c>
      <c r="M16" s="79">
        <v>-67</v>
      </c>
      <c r="N16" s="79">
        <v>-81</v>
      </c>
    </row>
    <row r="17" spans="2:14">
      <c r="B17" s="78" t="s">
        <v>114</v>
      </c>
      <c r="C17" s="79">
        <v>0</v>
      </c>
      <c r="D17" s="79">
        <v>0</v>
      </c>
      <c r="E17" s="79">
        <v>0</v>
      </c>
      <c r="F17" s="79">
        <v>-14</v>
      </c>
      <c r="G17" s="79">
        <v>0</v>
      </c>
      <c r="H17" s="79">
        <v>0</v>
      </c>
      <c r="I17" s="79">
        <v>0</v>
      </c>
      <c r="J17" s="79">
        <v>0</v>
      </c>
      <c r="K17" s="79">
        <v>0</v>
      </c>
      <c r="L17" s="79">
        <v>0</v>
      </c>
      <c r="M17" s="79">
        <v>0</v>
      </c>
      <c r="N17" s="79">
        <v>0</v>
      </c>
    </row>
    <row r="18" spans="2:14" ht="15" thickBot="1">
      <c r="B18" s="78" t="s">
        <v>115</v>
      </c>
      <c r="C18" s="79">
        <v>11</v>
      </c>
      <c r="D18" s="79">
        <v>28</v>
      </c>
      <c r="E18" s="79">
        <v>1</v>
      </c>
      <c r="F18" s="79">
        <v>11</v>
      </c>
      <c r="G18" s="79">
        <v>95</v>
      </c>
      <c r="H18" s="79">
        <v>214</v>
      </c>
      <c r="I18" s="79">
        <v>-142</v>
      </c>
      <c r="J18" s="79">
        <v>165</v>
      </c>
      <c r="K18" s="79">
        <v>432</v>
      </c>
      <c r="L18" s="80">
        <v>11287</v>
      </c>
      <c r="M18" s="79">
        <v>200</v>
      </c>
      <c r="N18" s="80">
        <v>1114</v>
      </c>
    </row>
    <row r="19" spans="2:14" ht="15" thickTop="1">
      <c r="B19" s="70" t="s">
        <v>172</v>
      </c>
      <c r="C19" s="71">
        <v>18694</v>
      </c>
      <c r="D19" s="71">
        <v>37815</v>
      </c>
      <c r="E19" s="71">
        <v>-5893</v>
      </c>
      <c r="F19" s="71">
        <v>57378</v>
      </c>
      <c r="G19" s="71">
        <v>23131</v>
      </c>
      <c r="H19" s="71">
        <v>24394</v>
      </c>
      <c r="I19" s="71">
        <v>-7321</v>
      </c>
      <c r="J19" s="71">
        <v>48124</v>
      </c>
      <c r="K19" s="71">
        <v>23941</v>
      </c>
      <c r="L19" s="71">
        <v>-3983</v>
      </c>
      <c r="M19" s="71">
        <v>-102478</v>
      </c>
      <c r="N19" s="71">
        <v>-59005</v>
      </c>
    </row>
    <row r="20" spans="2:14">
      <c r="B20" s="72" t="s">
        <v>118</v>
      </c>
      <c r="C20" s="74">
        <v>10718</v>
      </c>
      <c r="D20" s="74">
        <v>1223</v>
      </c>
      <c r="E20" s="74">
        <v>2262</v>
      </c>
      <c r="F20" s="74">
        <v>13006</v>
      </c>
      <c r="G20" s="74">
        <v>26690</v>
      </c>
      <c r="H20" s="74">
        <v>1849</v>
      </c>
      <c r="I20" s="74">
        <v>1760</v>
      </c>
      <c r="J20" s="74">
        <v>2610</v>
      </c>
      <c r="K20" s="74">
        <v>3416</v>
      </c>
      <c r="L20" s="74">
        <v>5250</v>
      </c>
      <c r="M20" s="74">
        <v>6346</v>
      </c>
      <c r="N20" s="74">
        <v>7565</v>
      </c>
    </row>
    <row r="21" spans="2:14">
      <c r="B21" s="72" t="s">
        <v>164</v>
      </c>
      <c r="C21" s="73">
        <v>0</v>
      </c>
      <c r="D21" s="73">
        <v>0</v>
      </c>
      <c r="E21" s="73">
        <v>0</v>
      </c>
      <c r="F21" s="73">
        <v>0</v>
      </c>
      <c r="G21" s="73">
        <v>0</v>
      </c>
      <c r="H21" s="73">
        <v>744</v>
      </c>
      <c r="I21" s="73">
        <v>356</v>
      </c>
      <c r="J21" s="74">
        <v>8313</v>
      </c>
      <c r="K21" s="74">
        <v>23000</v>
      </c>
      <c r="L21" s="74">
        <v>2350</v>
      </c>
      <c r="M21" s="74">
        <v>1182</v>
      </c>
      <c r="N21" s="73">
        <v>700</v>
      </c>
    </row>
    <row r="22" spans="2:14">
      <c r="B22" s="72" t="s">
        <v>165</v>
      </c>
      <c r="C22" s="73">
        <v>0</v>
      </c>
      <c r="D22" s="73">
        <v>0</v>
      </c>
      <c r="E22" s="73">
        <v>0</v>
      </c>
      <c r="F22" s="73">
        <v>0</v>
      </c>
      <c r="G22" s="74">
        <v>-2875</v>
      </c>
      <c r="H22" s="73">
        <v>0</v>
      </c>
      <c r="I22" s="74">
        <v>-1105</v>
      </c>
      <c r="J22" s="74">
        <v>-3650</v>
      </c>
      <c r="K22" s="74">
        <v>-12077</v>
      </c>
      <c r="L22" s="73">
        <v>-230</v>
      </c>
      <c r="M22" s="73">
        <v>0</v>
      </c>
      <c r="N22" s="73">
        <v>0</v>
      </c>
    </row>
    <row r="23" spans="2:14">
      <c r="B23" s="72" t="s">
        <v>119</v>
      </c>
      <c r="C23" s="73">
        <v>0</v>
      </c>
      <c r="D23" s="73">
        <v>0</v>
      </c>
      <c r="E23" s="73">
        <v>0</v>
      </c>
      <c r="F23" s="73">
        <v>0</v>
      </c>
      <c r="G23" s="74">
        <v>3266</v>
      </c>
      <c r="H23" s="74">
        <v>28358</v>
      </c>
      <c r="I23" s="73">
        <v>0</v>
      </c>
      <c r="J23" s="74">
        <v>44308</v>
      </c>
      <c r="K23" s="74">
        <v>18007</v>
      </c>
      <c r="L23" s="73">
        <v>0</v>
      </c>
      <c r="M23" s="73">
        <v>0</v>
      </c>
      <c r="N23" s="73">
        <v>0</v>
      </c>
    </row>
    <row r="24" spans="2:14">
      <c r="B24" s="72" t="s">
        <v>120</v>
      </c>
      <c r="C24" s="73">
        <v>0</v>
      </c>
      <c r="D24" s="73">
        <v>0</v>
      </c>
      <c r="E24" s="73">
        <v>0</v>
      </c>
      <c r="F24" s="73">
        <v>0</v>
      </c>
      <c r="G24" s="73">
        <v>0</v>
      </c>
      <c r="H24" s="73">
        <v>0</v>
      </c>
      <c r="I24" s="74">
        <v>-8389</v>
      </c>
      <c r="J24" s="73">
        <v>0</v>
      </c>
      <c r="K24" s="73">
        <v>0</v>
      </c>
      <c r="L24" s="74">
        <v>-7343</v>
      </c>
      <c r="M24" s="74">
        <v>-97063</v>
      </c>
      <c r="N24" s="74">
        <v>-48895</v>
      </c>
    </row>
    <row r="25" spans="2:14">
      <c r="B25" s="72" t="s">
        <v>166</v>
      </c>
      <c r="C25" s="74">
        <v>-1649</v>
      </c>
      <c r="D25" s="74">
        <v>-2009</v>
      </c>
      <c r="E25" s="74">
        <v>-2408</v>
      </c>
      <c r="F25" s="74">
        <v>-2831</v>
      </c>
      <c r="G25" s="74">
        <v>-4096</v>
      </c>
      <c r="H25" s="74">
        <v>-6631</v>
      </c>
      <c r="I25" s="73">
        <v>0</v>
      </c>
      <c r="J25" s="74">
        <v>-3592</v>
      </c>
      <c r="K25" s="74">
        <v>-8605</v>
      </c>
      <c r="L25" s="74">
        <v>-8404</v>
      </c>
      <c r="M25" s="74">
        <v>-14826</v>
      </c>
      <c r="N25" s="74">
        <v>-20706</v>
      </c>
    </row>
    <row r="26" spans="2:14" ht="15" thickBot="1">
      <c r="B26" s="72" t="s">
        <v>123</v>
      </c>
      <c r="C26" s="74">
        <v>9625</v>
      </c>
      <c r="D26" s="74">
        <v>38601</v>
      </c>
      <c r="E26" s="74">
        <v>-5746</v>
      </c>
      <c r="F26" s="74">
        <v>47203</v>
      </c>
      <c r="G26" s="73">
        <v>145</v>
      </c>
      <c r="H26" s="73">
        <v>75</v>
      </c>
      <c r="I26" s="73">
        <v>56</v>
      </c>
      <c r="J26" s="73">
        <v>136</v>
      </c>
      <c r="K26" s="73">
        <v>199</v>
      </c>
      <c r="L26" s="74">
        <v>4394</v>
      </c>
      <c r="M26" s="74">
        <v>1883</v>
      </c>
      <c r="N26" s="74">
        <v>2331</v>
      </c>
    </row>
    <row r="27" spans="2:14" ht="15" thickTop="1">
      <c r="B27" s="75" t="s">
        <v>167</v>
      </c>
      <c r="C27" s="77">
        <v>-3387</v>
      </c>
      <c r="D27" s="77">
        <v>2542</v>
      </c>
      <c r="E27" s="77">
        <v>10242</v>
      </c>
      <c r="F27" s="77">
        <v>73750</v>
      </c>
      <c r="G27" s="77">
        <v>-41244</v>
      </c>
      <c r="H27" s="77">
        <v>6122</v>
      </c>
      <c r="I27" s="77">
        <v>33332</v>
      </c>
      <c r="J27" s="77">
        <v>34113</v>
      </c>
      <c r="K27" s="77">
        <v>41762</v>
      </c>
      <c r="L27" s="77">
        <v>31687</v>
      </c>
      <c r="M27" s="77">
        <v>21113</v>
      </c>
      <c r="N27" s="5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6C911-1349-4ABD-83AC-DA1C5E837A32}">
  <sheetPr>
    <tabColor theme="4" tint="-0.249977111117893"/>
  </sheetPr>
  <dimension ref="A1"/>
  <sheetViews>
    <sheetView showGridLines="0" topLeftCell="AC1" workbookViewId="0">
      <selection activeCell="L17" sqref="L17"/>
    </sheetView>
  </sheetViews>
  <sheetFormatPr defaultRowHeight="14.4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93"/>
  <sheetViews>
    <sheetView showGridLines="0" zoomScale="120" zoomScaleNormal="120" zoomScalePageLayoutView="120" workbookViewId="0">
      <pane xSplit="1" ySplit="1" topLeftCell="D78" activePane="bottomRight" state="frozen"/>
      <selection pane="bottomRight" activeCell="I23" sqref="I23:I24"/>
      <selection pane="bottomLeft" activeCell="C4" sqref="C4"/>
      <selection pane="topRight" activeCell="C4" sqref="C4"/>
    </sheetView>
  </sheetViews>
  <sheetFormatPr defaultColWidth="8.85546875" defaultRowHeight="14.45"/>
  <cols>
    <col min="1" max="1" width="27.5703125" style="2" bestFit="1" customWidth="1"/>
    <col min="2" max="11" width="13.42578125" style="2" bestFit="1" customWidth="1"/>
    <col min="12" max="12" width="8.85546875" style="2"/>
    <col min="13" max="13" width="9.7109375" style="2" bestFit="1" customWidth="1"/>
    <col min="14" max="16384" width="8.85546875" style="2"/>
  </cols>
  <sheetData>
    <row r="1" spans="1:11" s="1" customFormat="1">
      <c r="A1" s="1" t="s">
        <v>173</v>
      </c>
      <c r="B1" s="1" t="s">
        <v>174</v>
      </c>
      <c r="E1" s="98" t="str">
        <f>IF(B2&lt;&gt;B3, "A NEW VERSION OF THE WORKSHEET IS AVAILABLE", "")</f>
        <v/>
      </c>
      <c r="F1" s="98"/>
      <c r="G1" s="98"/>
      <c r="H1" s="98"/>
      <c r="I1" s="98"/>
      <c r="J1" s="98"/>
      <c r="K1" s="98"/>
    </row>
    <row r="2" spans="1:11">
      <c r="A2" s="1" t="s">
        <v>175</v>
      </c>
      <c r="B2" s="2">
        <v>2.1</v>
      </c>
      <c r="E2" s="99" t="s">
        <v>176</v>
      </c>
      <c r="F2" s="99"/>
      <c r="G2" s="99"/>
      <c r="H2" s="99"/>
      <c r="I2" s="99"/>
      <c r="J2" s="99"/>
      <c r="K2" s="99"/>
    </row>
    <row r="3" spans="1:11">
      <c r="A3" s="1" t="s">
        <v>177</v>
      </c>
      <c r="B3" s="2">
        <v>2.1</v>
      </c>
    </row>
    <row r="4" spans="1:11">
      <c r="A4" s="1"/>
    </row>
    <row r="5" spans="1:11">
      <c r="A5" s="1" t="s">
        <v>178</v>
      </c>
    </row>
    <row r="6" spans="1:11">
      <c r="A6" s="2" t="s">
        <v>179</v>
      </c>
      <c r="B6" s="2">
        <f>IF(B9&gt;0, B9/B8, 0)</f>
        <v>1539.1484166080224</v>
      </c>
    </row>
    <row r="7" spans="1:11">
      <c r="A7" s="2" t="s">
        <v>25</v>
      </c>
      <c r="B7">
        <v>1</v>
      </c>
    </row>
    <row r="8" spans="1:11">
      <c r="A8" s="2" t="s">
        <v>23</v>
      </c>
      <c r="B8">
        <v>710.5</v>
      </c>
    </row>
    <row r="9" spans="1:11">
      <c r="A9" s="2" t="s">
        <v>180</v>
      </c>
      <c r="B9">
        <v>1093564.95</v>
      </c>
    </row>
    <row r="15" spans="1:11">
      <c r="A15" s="1" t="s">
        <v>181</v>
      </c>
    </row>
    <row r="16" spans="1:11" s="6" customFormat="1">
      <c r="A16" s="5" t="s">
        <v>182</v>
      </c>
      <c r="B16" s="4">
        <v>42825</v>
      </c>
      <c r="C16" s="4">
        <v>43190</v>
      </c>
      <c r="D16" s="4">
        <v>43555</v>
      </c>
      <c r="E16" s="4">
        <v>43921</v>
      </c>
      <c r="F16" s="4">
        <v>44286</v>
      </c>
      <c r="G16" s="4">
        <v>44651</v>
      </c>
      <c r="H16" s="4">
        <v>45016</v>
      </c>
      <c r="I16" s="4">
        <v>45382</v>
      </c>
      <c r="J16" s="4">
        <v>45747</v>
      </c>
      <c r="K16" s="4">
        <v>46112</v>
      </c>
    </row>
    <row r="17" spans="1:12" s="3" customFormat="1">
      <c r="A17" s="3" t="s">
        <v>143</v>
      </c>
      <c r="B17">
        <v>73271.350000000006</v>
      </c>
      <c r="C17">
        <v>85287.84</v>
      </c>
      <c r="D17">
        <v>105160.74</v>
      </c>
      <c r="E17">
        <v>122189.29</v>
      </c>
      <c r="F17">
        <v>128552.4</v>
      </c>
      <c r="G17">
        <v>135936.41</v>
      </c>
      <c r="H17">
        <v>170754.05</v>
      </c>
      <c r="I17">
        <v>283649.02</v>
      </c>
      <c r="J17">
        <v>336367.43</v>
      </c>
      <c r="K17">
        <v>348615.15</v>
      </c>
      <c r="L17"/>
    </row>
    <row r="18" spans="1:12" s="3" customFormat="1">
      <c r="A18" s="2" t="s">
        <v>183</v>
      </c>
      <c r="E18"/>
      <c r="F18"/>
      <c r="G18"/>
      <c r="H18"/>
      <c r="I18"/>
      <c r="J18"/>
      <c r="K18"/>
      <c r="L18"/>
    </row>
    <row r="19" spans="1:12" s="3" customFormat="1">
      <c r="A19" s="2" t="s">
        <v>184</v>
      </c>
      <c r="E19"/>
      <c r="F19"/>
      <c r="G19"/>
      <c r="H19"/>
      <c r="I19"/>
      <c r="J19"/>
      <c r="K19"/>
      <c r="L19"/>
    </row>
    <row r="20" spans="1:12" s="3" customFormat="1">
      <c r="A20" s="2" t="s">
        <v>185</v>
      </c>
      <c r="D20"/>
      <c r="E20"/>
      <c r="F20"/>
      <c r="G20"/>
      <c r="H20"/>
      <c r="I20"/>
      <c r="J20"/>
      <c r="K20"/>
      <c r="L20"/>
    </row>
    <row r="21" spans="1:12" s="3" customFormat="1">
      <c r="A21" s="2" t="s">
        <v>186</v>
      </c>
      <c r="B21">
        <v>1271.8</v>
      </c>
      <c r="C21">
        <v>1314.97</v>
      </c>
      <c r="D21">
        <v>1283.53</v>
      </c>
      <c r="E21">
        <v>1293.44</v>
      </c>
      <c r="F21">
        <v>1649.11</v>
      </c>
      <c r="G21">
        <v>1772.27</v>
      </c>
      <c r="H21">
        <v>2176.5</v>
      </c>
      <c r="I21">
        <v>3255.75</v>
      </c>
      <c r="J21">
        <v>3943.56</v>
      </c>
      <c r="K21">
        <v>4691.2</v>
      </c>
      <c r="L21"/>
    </row>
    <row r="22" spans="1:12" s="3" customFormat="1">
      <c r="A22" s="2" t="s">
        <v>145</v>
      </c>
      <c r="B22">
        <v>8508.2199999999993</v>
      </c>
      <c r="C22">
        <v>9197.15</v>
      </c>
      <c r="D22">
        <v>10454.75</v>
      </c>
      <c r="E22">
        <v>12924.1</v>
      </c>
      <c r="F22">
        <v>13682.35</v>
      </c>
      <c r="G22">
        <v>15904.81</v>
      </c>
      <c r="H22">
        <v>20031.36</v>
      </c>
      <c r="I22">
        <v>31050.07</v>
      </c>
      <c r="J22">
        <v>34167.89</v>
      </c>
      <c r="K22">
        <v>37645.25</v>
      </c>
      <c r="L22"/>
    </row>
    <row r="23" spans="1:12" s="3" customFormat="1">
      <c r="A23" s="2" t="s">
        <v>146</v>
      </c>
      <c r="B23">
        <v>3328.39</v>
      </c>
      <c r="C23">
        <v>3658.43</v>
      </c>
      <c r="D23">
        <v>3900.17</v>
      </c>
      <c r="E23">
        <v>4192.1499999999996</v>
      </c>
      <c r="F23">
        <v>4780.54</v>
      </c>
      <c r="G23">
        <v>5406.79</v>
      </c>
      <c r="H23">
        <v>6580</v>
      </c>
      <c r="I23">
        <v>87580.05</v>
      </c>
      <c r="J23">
        <v>105188.45</v>
      </c>
      <c r="K23">
        <v>103553.02</v>
      </c>
      <c r="L23"/>
    </row>
    <row r="24" spans="1:12" s="3" customFormat="1">
      <c r="A24" s="2" t="s">
        <v>147</v>
      </c>
      <c r="B24">
        <v>10747.28</v>
      </c>
      <c r="C24">
        <v>15361.71</v>
      </c>
      <c r="D24">
        <v>19217.82</v>
      </c>
      <c r="E24">
        <v>27049.52</v>
      </c>
      <c r="F24">
        <v>32344.53</v>
      </c>
      <c r="G24">
        <v>33473.089999999997</v>
      </c>
      <c r="H24">
        <v>34254.44</v>
      </c>
      <c r="I24">
        <v>52309.67</v>
      </c>
      <c r="J24">
        <v>43674.55</v>
      </c>
      <c r="K24">
        <v>57745.760000000002</v>
      </c>
      <c r="L24"/>
    </row>
    <row r="25" spans="1:12" s="3" customFormat="1">
      <c r="A25" s="3" t="s">
        <v>148</v>
      </c>
      <c r="B25">
        <v>12905.08</v>
      </c>
      <c r="C25">
        <v>16056.6</v>
      </c>
      <c r="D25">
        <v>18947.05</v>
      </c>
      <c r="E25">
        <v>24878.97</v>
      </c>
      <c r="F25">
        <v>27332.880000000001</v>
      </c>
      <c r="G25">
        <v>31758.99</v>
      </c>
      <c r="H25">
        <v>33912.050000000003</v>
      </c>
      <c r="I25">
        <v>124345.75</v>
      </c>
      <c r="J25">
        <v>134548.5</v>
      </c>
      <c r="K25">
        <v>146847.66</v>
      </c>
      <c r="L25"/>
    </row>
    <row r="26" spans="1:12" s="3" customFormat="1">
      <c r="A26" s="3" t="s">
        <v>149</v>
      </c>
      <c r="B26">
        <v>886.19</v>
      </c>
      <c r="C26">
        <v>966.78</v>
      </c>
      <c r="D26">
        <v>1220.67</v>
      </c>
      <c r="E26">
        <v>1276.77</v>
      </c>
      <c r="F26">
        <v>1385.01</v>
      </c>
      <c r="G26">
        <v>1680.73</v>
      </c>
      <c r="H26">
        <v>2345.4699999999998</v>
      </c>
      <c r="I26">
        <v>3092.08</v>
      </c>
      <c r="J26">
        <v>3805.23</v>
      </c>
      <c r="K26">
        <v>4194.8999999999996</v>
      </c>
      <c r="L26"/>
    </row>
    <row r="27" spans="1:12" s="3" customFormat="1">
      <c r="A27" s="3" t="s">
        <v>150</v>
      </c>
      <c r="B27">
        <v>38041.58</v>
      </c>
      <c r="C27">
        <v>42381.48</v>
      </c>
      <c r="D27">
        <v>53712.69</v>
      </c>
      <c r="E27">
        <v>62137.42</v>
      </c>
      <c r="F27">
        <v>59247.59</v>
      </c>
      <c r="G27">
        <v>58584.33</v>
      </c>
      <c r="H27">
        <v>77779.94</v>
      </c>
      <c r="I27">
        <v>154138.54999999999</v>
      </c>
      <c r="J27">
        <v>183894.2</v>
      </c>
      <c r="K27">
        <v>185491.23</v>
      </c>
      <c r="L27"/>
    </row>
    <row r="28" spans="1:12" s="3" customFormat="1">
      <c r="A28" s="3" t="s">
        <v>151</v>
      </c>
      <c r="B28">
        <v>23392.97</v>
      </c>
      <c r="C28">
        <v>28463.919999999998</v>
      </c>
      <c r="D28">
        <v>34318.160000000003</v>
      </c>
      <c r="E28">
        <v>38194.86</v>
      </c>
      <c r="F28">
        <v>42796.15</v>
      </c>
      <c r="G28">
        <v>50873.38</v>
      </c>
      <c r="H28">
        <v>61498.39</v>
      </c>
      <c r="I28">
        <v>76568.600000000006</v>
      </c>
      <c r="J28">
        <v>96242.05</v>
      </c>
      <c r="K28">
        <v>102141.45</v>
      </c>
      <c r="L28"/>
    </row>
    <row r="29" spans="1:12" s="3" customFormat="1">
      <c r="A29" s="3" t="s">
        <v>63</v>
      </c>
      <c r="B29">
        <v>8078.12</v>
      </c>
      <c r="C29">
        <v>9903.08</v>
      </c>
      <c r="D29">
        <v>11872.55</v>
      </c>
      <c r="E29">
        <v>10898.59</v>
      </c>
      <c r="F29">
        <v>10939.38</v>
      </c>
      <c r="G29">
        <v>12722.48</v>
      </c>
      <c r="H29">
        <v>15349.69</v>
      </c>
      <c r="I29">
        <v>11122.1</v>
      </c>
      <c r="J29">
        <v>22801.88</v>
      </c>
      <c r="K29">
        <v>22921.99</v>
      </c>
      <c r="L29"/>
    </row>
    <row r="30" spans="1:12" s="3" customFormat="1">
      <c r="A30" s="3" t="s">
        <v>152</v>
      </c>
      <c r="B30">
        <v>15280.48</v>
      </c>
      <c r="C30">
        <v>18510.02</v>
      </c>
      <c r="D30">
        <v>22332.43</v>
      </c>
      <c r="E30">
        <v>27253.95</v>
      </c>
      <c r="F30">
        <v>31833.21</v>
      </c>
      <c r="G30">
        <v>38052.75</v>
      </c>
      <c r="H30">
        <v>45997.11</v>
      </c>
      <c r="I30">
        <v>64062.04</v>
      </c>
      <c r="J30">
        <v>70792.25</v>
      </c>
      <c r="K30">
        <v>76025.97</v>
      </c>
      <c r="L30"/>
    </row>
    <row r="31" spans="1:12" s="3" customFormat="1">
      <c r="A31" s="3" t="s">
        <v>153</v>
      </c>
      <c r="B31">
        <v>2818.8</v>
      </c>
      <c r="C31">
        <v>3373.63</v>
      </c>
      <c r="D31">
        <v>4084.95</v>
      </c>
      <c r="E31">
        <v>1370.82</v>
      </c>
      <c r="F31">
        <v>3583.32</v>
      </c>
      <c r="G31">
        <v>8595.52</v>
      </c>
      <c r="H31">
        <v>10601.43</v>
      </c>
      <c r="I31">
        <v>14813.96</v>
      </c>
      <c r="J31">
        <v>16834.84</v>
      </c>
      <c r="K31">
        <v>23859.77</v>
      </c>
    </row>
    <row r="32" spans="1:12" s="3" customFormat="1"/>
    <row r="33" spans="1:11">
      <c r="A33" s="3"/>
    </row>
    <row r="34" spans="1:11">
      <c r="A34" s="3"/>
    </row>
    <row r="35" spans="1:11">
      <c r="A35" s="3"/>
    </row>
    <row r="36" spans="1:11">
      <c r="A36" s="3"/>
    </row>
    <row r="37" spans="1:11">
      <c r="A37" s="3"/>
    </row>
    <row r="38" spans="1:11">
      <c r="A38" s="3"/>
    </row>
    <row r="39" spans="1:11">
      <c r="A39" s="3"/>
    </row>
    <row r="40" spans="1:11">
      <c r="A40" s="1" t="s">
        <v>187</v>
      </c>
    </row>
    <row r="41" spans="1:11" s="6" customFormat="1">
      <c r="A41" s="5" t="s">
        <v>182</v>
      </c>
      <c r="B41" s="4">
        <v>45382</v>
      </c>
      <c r="C41" s="4">
        <v>45473</v>
      </c>
      <c r="D41" s="4">
        <v>45565</v>
      </c>
      <c r="E41" s="4">
        <v>45657</v>
      </c>
      <c r="F41" s="4">
        <v>45747</v>
      </c>
      <c r="G41" s="4">
        <v>45838</v>
      </c>
      <c r="H41" s="4">
        <v>45930</v>
      </c>
      <c r="I41" s="4">
        <v>46022</v>
      </c>
      <c r="J41" s="4">
        <v>46112</v>
      </c>
      <c r="K41" s="4">
        <v>46203</v>
      </c>
    </row>
    <row r="42" spans="1:11" s="3" customFormat="1">
      <c r="A42" s="3" t="s">
        <v>143</v>
      </c>
      <c r="B42">
        <v>79433.61</v>
      </c>
      <c r="C42">
        <v>81546.2</v>
      </c>
      <c r="D42">
        <v>83001.72</v>
      </c>
      <c r="E42">
        <v>85040.17</v>
      </c>
      <c r="F42">
        <v>86779.34</v>
      </c>
      <c r="G42">
        <v>87371.87</v>
      </c>
      <c r="H42">
        <v>86993.84</v>
      </c>
      <c r="I42">
        <v>87066.94</v>
      </c>
      <c r="J42">
        <v>87182.5</v>
      </c>
      <c r="K42">
        <v>90575.33</v>
      </c>
    </row>
    <row r="43" spans="1:11" s="3" customFormat="1">
      <c r="A43" s="3" t="s">
        <v>188</v>
      </c>
      <c r="B43">
        <v>62938.45</v>
      </c>
      <c r="C43">
        <v>49689.62</v>
      </c>
      <c r="D43">
        <v>52074.11</v>
      </c>
      <c r="E43">
        <v>41306.79</v>
      </c>
      <c r="F43">
        <v>47709.16</v>
      </c>
      <c r="G43">
        <v>64496.63</v>
      </c>
      <c r="H43">
        <v>45160.88</v>
      </c>
      <c r="I43">
        <v>54144.75</v>
      </c>
      <c r="J43">
        <v>44027.87</v>
      </c>
      <c r="K43">
        <v>58291.57</v>
      </c>
    </row>
    <row r="44" spans="1:11" s="3" customFormat="1">
      <c r="A44" s="3" t="s">
        <v>148</v>
      </c>
      <c r="B44">
        <v>44957.74</v>
      </c>
      <c r="C44">
        <v>35450.29</v>
      </c>
      <c r="D44">
        <v>38455.019999999997</v>
      </c>
      <c r="E44">
        <v>27153.77</v>
      </c>
      <c r="F44">
        <v>33489.42</v>
      </c>
      <c r="G44">
        <v>45683.1</v>
      </c>
      <c r="H44">
        <v>31566.79</v>
      </c>
      <c r="I44">
        <v>39860.33</v>
      </c>
      <c r="J44">
        <v>29737.439999999999</v>
      </c>
      <c r="K44">
        <v>42535.03</v>
      </c>
    </row>
    <row r="45" spans="1:11" s="3" customFormat="1">
      <c r="A45" s="3" t="s">
        <v>149</v>
      </c>
      <c r="B45"/>
      <c r="C45"/>
      <c r="D45"/>
      <c r="E45"/>
      <c r="F45"/>
      <c r="G45"/>
      <c r="H45"/>
      <c r="I45"/>
      <c r="J45"/>
      <c r="K45"/>
    </row>
    <row r="46" spans="1:11" s="3" customFormat="1">
      <c r="A46" s="3" t="s">
        <v>150</v>
      </c>
      <c r="B46">
        <v>43691.51</v>
      </c>
      <c r="C46">
        <v>44579.5</v>
      </c>
      <c r="D46">
        <v>45414.21</v>
      </c>
      <c r="E46">
        <v>46914.28</v>
      </c>
      <c r="F46">
        <v>46986.21</v>
      </c>
      <c r="G46">
        <v>47708.51</v>
      </c>
      <c r="H46">
        <v>46740.86</v>
      </c>
      <c r="I46">
        <v>45821.42</v>
      </c>
      <c r="J46">
        <v>45220.44</v>
      </c>
      <c r="K46">
        <v>47625.63</v>
      </c>
    </row>
    <row r="47" spans="1:11" s="3" customFormat="1">
      <c r="A47" s="3" t="s">
        <v>151</v>
      </c>
      <c r="B47">
        <v>17761.39</v>
      </c>
      <c r="C47">
        <v>22727.37</v>
      </c>
      <c r="D47">
        <v>23968.42</v>
      </c>
      <c r="E47">
        <v>23972.87</v>
      </c>
      <c r="F47">
        <v>25573.39</v>
      </c>
      <c r="G47">
        <v>20849.830000000002</v>
      </c>
      <c r="H47">
        <v>26658.89</v>
      </c>
      <c r="I47">
        <v>26961.1</v>
      </c>
      <c r="J47">
        <v>27671.63</v>
      </c>
      <c r="K47">
        <v>27193.16</v>
      </c>
    </row>
    <row r="48" spans="1:11" s="3" customFormat="1">
      <c r="A48" s="3" t="s">
        <v>63</v>
      </c>
      <c r="B48">
        <v>-251.48</v>
      </c>
      <c r="C48">
        <v>5539.32</v>
      </c>
      <c r="D48">
        <v>5340.98</v>
      </c>
      <c r="E48">
        <v>5632.76</v>
      </c>
      <c r="F48">
        <v>6288.82</v>
      </c>
      <c r="G48">
        <v>3759.4</v>
      </c>
      <c r="H48">
        <v>6295.12</v>
      </c>
      <c r="I48">
        <v>6270.06</v>
      </c>
      <c r="J48">
        <v>6597.41</v>
      </c>
      <c r="K48">
        <v>6810.47</v>
      </c>
    </row>
    <row r="49" spans="1:11" s="3" customFormat="1">
      <c r="A49" s="3" t="s">
        <v>152</v>
      </c>
      <c r="B49">
        <v>17622.38</v>
      </c>
      <c r="C49">
        <v>16474.849999999999</v>
      </c>
      <c r="D49">
        <v>17825.91</v>
      </c>
      <c r="E49">
        <v>17656.61</v>
      </c>
      <c r="F49">
        <v>18834.88</v>
      </c>
      <c r="G49">
        <v>16257.91</v>
      </c>
      <c r="H49">
        <v>19610.669999999998</v>
      </c>
      <c r="I49">
        <v>19806.63</v>
      </c>
      <c r="J49">
        <v>20350.759999999998</v>
      </c>
      <c r="K49">
        <v>19244.71</v>
      </c>
    </row>
    <row r="50" spans="1:11">
      <c r="A50" s="3" t="s">
        <v>189</v>
      </c>
      <c r="B50">
        <v>16495.16</v>
      </c>
      <c r="C50">
        <v>31856.58</v>
      </c>
      <c r="D50">
        <v>30927.61</v>
      </c>
      <c r="E50">
        <v>43733.38</v>
      </c>
      <c r="F50">
        <v>39070.18</v>
      </c>
      <c r="G50">
        <v>22875.24</v>
      </c>
      <c r="H50">
        <v>41832.959999999999</v>
      </c>
      <c r="I50">
        <v>32922.19</v>
      </c>
      <c r="J50">
        <v>43154.63</v>
      </c>
      <c r="K50">
        <v>32283.759999999998</v>
      </c>
    </row>
    <row r="51" spans="1:11">
      <c r="A51" s="3"/>
    </row>
    <row r="52" spans="1:11">
      <c r="A52" s="3"/>
    </row>
    <row r="53" spans="1:11">
      <c r="A53" s="3"/>
    </row>
    <row r="54" spans="1:11">
      <c r="A54" s="3"/>
    </row>
    <row r="55" spans="1:11">
      <c r="A55" s="1" t="s">
        <v>190</v>
      </c>
    </row>
    <row r="56" spans="1:11" s="6" customFormat="1">
      <c r="A56" s="5" t="s">
        <v>182</v>
      </c>
      <c r="B56" s="4">
        <v>42825</v>
      </c>
      <c r="C56" s="4">
        <v>43190</v>
      </c>
      <c r="D56" s="4">
        <v>43555</v>
      </c>
      <c r="E56" s="4">
        <v>43921</v>
      </c>
      <c r="F56" s="4">
        <v>44286</v>
      </c>
      <c r="G56" s="4">
        <v>44651</v>
      </c>
      <c r="H56" s="4">
        <v>45016</v>
      </c>
      <c r="I56" s="4">
        <v>45382</v>
      </c>
      <c r="J56" s="4">
        <v>45747</v>
      </c>
      <c r="K56" s="4">
        <v>46112</v>
      </c>
    </row>
    <row r="57" spans="1:11">
      <c r="A57" s="3" t="s">
        <v>83</v>
      </c>
      <c r="B57">
        <v>512.51</v>
      </c>
      <c r="C57">
        <v>519.02</v>
      </c>
      <c r="D57">
        <v>544.66</v>
      </c>
      <c r="E57">
        <v>548.33000000000004</v>
      </c>
      <c r="F57">
        <v>551.28</v>
      </c>
      <c r="G57">
        <v>554.54999999999995</v>
      </c>
      <c r="H57">
        <v>557.97</v>
      </c>
      <c r="I57">
        <v>759.69</v>
      </c>
      <c r="J57">
        <v>765.22</v>
      </c>
      <c r="K57">
        <v>1539.34</v>
      </c>
    </row>
    <row r="58" spans="1:11">
      <c r="A58" s="3" t="s">
        <v>84</v>
      </c>
      <c r="B58">
        <v>91281.44</v>
      </c>
      <c r="C58">
        <v>109080.11</v>
      </c>
      <c r="D58">
        <v>153128</v>
      </c>
      <c r="E58">
        <v>175810.38</v>
      </c>
      <c r="F58">
        <v>209258.9</v>
      </c>
      <c r="G58">
        <v>246771.62</v>
      </c>
      <c r="H58">
        <v>288879.53000000003</v>
      </c>
      <c r="I58">
        <v>455635.56</v>
      </c>
      <c r="J58">
        <v>521024.17</v>
      </c>
      <c r="K58">
        <v>584520.13</v>
      </c>
    </row>
    <row r="59" spans="1:11">
      <c r="A59" s="3" t="s">
        <v>85</v>
      </c>
      <c r="B59">
        <v>741549.89</v>
      </c>
      <c r="C59">
        <v>944817.22</v>
      </c>
      <c r="D59">
        <v>1080235.46</v>
      </c>
      <c r="E59">
        <v>1333041.45</v>
      </c>
      <c r="F59">
        <v>1511417.62</v>
      </c>
      <c r="G59">
        <v>1784969.53</v>
      </c>
      <c r="H59">
        <v>2139211.91</v>
      </c>
      <c r="I59">
        <v>3107502.74</v>
      </c>
      <c r="J59">
        <v>3345503.8</v>
      </c>
      <c r="K59">
        <v>3688122.84</v>
      </c>
    </row>
    <row r="60" spans="1:11">
      <c r="A60" s="3" t="s">
        <v>86</v>
      </c>
      <c r="B60">
        <v>59000.32</v>
      </c>
      <c r="C60">
        <v>48769.82</v>
      </c>
      <c r="D60">
        <v>58897.59</v>
      </c>
      <c r="E60">
        <v>71430.27</v>
      </c>
      <c r="F60">
        <v>78278.83</v>
      </c>
      <c r="G60">
        <v>90638.6</v>
      </c>
      <c r="H60">
        <v>101783.03</v>
      </c>
      <c r="I60">
        <v>466296.27</v>
      </c>
      <c r="J60">
        <v>524816.64000000001</v>
      </c>
      <c r="K60">
        <v>633519.03</v>
      </c>
    </row>
    <row r="61" spans="1:11" s="1" customFormat="1">
      <c r="A61" s="1" t="s">
        <v>191</v>
      </c>
      <c r="B61">
        <v>892344.16</v>
      </c>
      <c r="C61">
        <v>1103186.17</v>
      </c>
      <c r="D61">
        <v>1292805.71</v>
      </c>
      <c r="E61">
        <v>1580830.43</v>
      </c>
      <c r="F61">
        <v>1799506.63</v>
      </c>
      <c r="G61">
        <v>2122934.2999999998</v>
      </c>
      <c r="H61">
        <v>2530432.44</v>
      </c>
      <c r="I61">
        <v>4030194.26</v>
      </c>
      <c r="J61">
        <v>4392109.83</v>
      </c>
      <c r="K61">
        <v>4907701.34</v>
      </c>
    </row>
    <row r="62" spans="1:11">
      <c r="A62" s="3" t="s">
        <v>192</v>
      </c>
      <c r="B62">
        <v>3999.7</v>
      </c>
      <c r="C62">
        <v>4008.13</v>
      </c>
      <c r="D62">
        <v>4368.63</v>
      </c>
      <c r="E62">
        <v>4775.6499999999996</v>
      </c>
      <c r="F62">
        <v>5248.35</v>
      </c>
      <c r="G62">
        <v>6432.07</v>
      </c>
      <c r="H62">
        <v>8431.35</v>
      </c>
      <c r="I62">
        <v>12603.76</v>
      </c>
      <c r="J62">
        <v>15257.94</v>
      </c>
      <c r="K62">
        <v>16491.59</v>
      </c>
    </row>
    <row r="63" spans="1:11">
      <c r="A63" s="3" t="s">
        <v>89</v>
      </c>
      <c r="D63"/>
      <c r="E63"/>
      <c r="F63"/>
      <c r="G63"/>
      <c r="H63"/>
      <c r="I63"/>
      <c r="J63"/>
      <c r="K63"/>
    </row>
    <row r="64" spans="1:11">
      <c r="A64" s="3" t="s">
        <v>90</v>
      </c>
      <c r="B64">
        <v>210777.11</v>
      </c>
      <c r="C64">
        <v>238460.92</v>
      </c>
      <c r="D64">
        <v>289445.87</v>
      </c>
      <c r="E64">
        <v>389304.95</v>
      </c>
      <c r="F64">
        <v>438823.11</v>
      </c>
      <c r="G64">
        <v>449263.86</v>
      </c>
      <c r="H64">
        <v>511581.71</v>
      </c>
      <c r="I64">
        <v>1005681.63</v>
      </c>
      <c r="J64">
        <v>1186472.8899999999</v>
      </c>
      <c r="K64">
        <v>1280216.29</v>
      </c>
    </row>
    <row r="65" spans="1:11">
      <c r="A65" s="3" t="s">
        <v>91</v>
      </c>
      <c r="B65">
        <v>677567.35</v>
      </c>
      <c r="C65">
        <v>860717.12</v>
      </c>
      <c r="D65">
        <v>998991.21</v>
      </c>
      <c r="E65">
        <v>1186749.83</v>
      </c>
      <c r="F65">
        <v>1355435.17</v>
      </c>
      <c r="G65">
        <v>1667238.37</v>
      </c>
      <c r="H65">
        <v>2010419.38</v>
      </c>
      <c r="I65">
        <v>3011908.87</v>
      </c>
      <c r="J65">
        <v>3190379</v>
      </c>
      <c r="K65">
        <v>3610993.46</v>
      </c>
    </row>
    <row r="66" spans="1:11" s="1" customFormat="1">
      <c r="A66" s="1" t="s">
        <v>191</v>
      </c>
      <c r="B66">
        <v>892344.16</v>
      </c>
      <c r="C66">
        <v>1103186.17</v>
      </c>
      <c r="D66">
        <v>1292805.71</v>
      </c>
      <c r="E66">
        <v>1580830.43</v>
      </c>
      <c r="F66">
        <v>1799506.63</v>
      </c>
      <c r="G66">
        <v>2122934.2999999998</v>
      </c>
      <c r="H66">
        <v>2530432.44</v>
      </c>
      <c r="I66">
        <v>4030194.26</v>
      </c>
      <c r="J66">
        <v>4392109.83</v>
      </c>
      <c r="K66">
        <v>4907701.34</v>
      </c>
    </row>
    <row r="67" spans="1:11" s="3" customFormat="1">
      <c r="A67" s="3" t="s">
        <v>93</v>
      </c>
      <c r="D67"/>
      <c r="E67"/>
      <c r="F67"/>
      <c r="G67"/>
      <c r="H67"/>
      <c r="I67"/>
      <c r="J67"/>
      <c r="K67"/>
    </row>
    <row r="68" spans="1:11">
      <c r="A68" s="3" t="s">
        <v>94</v>
      </c>
      <c r="E68"/>
      <c r="F68"/>
      <c r="G68"/>
      <c r="H68"/>
      <c r="I68"/>
      <c r="J68"/>
      <c r="K68"/>
    </row>
    <row r="69" spans="1:11">
      <c r="A69" s="2" t="s">
        <v>95</v>
      </c>
      <c r="B69">
        <v>37910.550000000003</v>
      </c>
      <c r="C69">
        <v>104688.2</v>
      </c>
      <c r="D69">
        <v>46804.59</v>
      </c>
      <c r="E69">
        <v>72211</v>
      </c>
      <c r="F69">
        <v>97370.35</v>
      </c>
      <c r="G69">
        <v>130030.71</v>
      </c>
      <c r="H69">
        <v>117189.28</v>
      </c>
      <c r="I69">
        <v>178718.67</v>
      </c>
      <c r="J69">
        <v>144390.25</v>
      </c>
      <c r="K69">
        <v>200707.11</v>
      </c>
    </row>
    <row r="70" spans="1:11">
      <c r="A70" s="2" t="s">
        <v>193</v>
      </c>
      <c r="B70">
        <v>2562545717</v>
      </c>
      <c r="C70">
        <v>2595090267</v>
      </c>
      <c r="D70">
        <v>2723306610</v>
      </c>
      <c r="E70">
        <v>5483286460</v>
      </c>
      <c r="F70">
        <v>5512776482</v>
      </c>
      <c r="G70">
        <v>5545540976</v>
      </c>
      <c r="H70">
        <v>5579742786</v>
      </c>
      <c r="I70">
        <v>7596910662</v>
      </c>
      <c r="J70">
        <v>7652221674</v>
      </c>
      <c r="K70">
        <v>15393368328</v>
      </c>
    </row>
    <row r="71" spans="1:11">
      <c r="A71" s="2" t="s">
        <v>194</v>
      </c>
      <c r="J71"/>
    </row>
    <row r="72" spans="1:11">
      <c r="A72" s="2" t="s">
        <v>195</v>
      </c>
      <c r="B72">
        <v>2</v>
      </c>
      <c r="C72">
        <v>2</v>
      </c>
      <c r="D72">
        <v>2</v>
      </c>
      <c r="E72">
        <v>1</v>
      </c>
      <c r="F72">
        <v>1</v>
      </c>
      <c r="G72">
        <v>1</v>
      </c>
      <c r="H72">
        <v>1</v>
      </c>
      <c r="I72">
        <v>1</v>
      </c>
      <c r="J72">
        <v>1</v>
      </c>
      <c r="K72">
        <v>1</v>
      </c>
    </row>
    <row r="74" spans="1:11">
      <c r="A74" s="3"/>
    </row>
    <row r="75" spans="1:11">
      <c r="A75" s="3"/>
    </row>
    <row r="76" spans="1:11">
      <c r="A76" s="3"/>
    </row>
    <row r="77" spans="1:11">
      <c r="A77" s="3"/>
    </row>
    <row r="78" spans="1:11">
      <c r="A78" s="3"/>
    </row>
    <row r="79" spans="1:11">
      <c r="A79" s="3"/>
    </row>
    <row r="80" spans="1:11">
      <c r="A80" s="1" t="s">
        <v>196</v>
      </c>
    </row>
    <row r="81" spans="1:11" s="6" customFormat="1">
      <c r="A81" s="5" t="s">
        <v>182</v>
      </c>
      <c r="B81" s="4">
        <v>42825</v>
      </c>
      <c r="C81" s="4">
        <v>43190</v>
      </c>
      <c r="D81" s="4">
        <v>43555</v>
      </c>
      <c r="E81" s="4">
        <v>43921</v>
      </c>
      <c r="F81" s="4">
        <v>44286</v>
      </c>
      <c r="G81" s="4">
        <v>44651</v>
      </c>
      <c r="H81" s="4">
        <v>45016</v>
      </c>
      <c r="I81" s="4">
        <v>45382</v>
      </c>
      <c r="J81" s="4">
        <v>45747</v>
      </c>
      <c r="K81" s="4">
        <v>46112</v>
      </c>
    </row>
    <row r="82" spans="1:11" s="1" customFormat="1">
      <c r="A82" s="3" t="s">
        <v>197</v>
      </c>
      <c r="B82">
        <v>17281.59</v>
      </c>
      <c r="C82">
        <v>17214.38</v>
      </c>
      <c r="D82">
        <v>-62871.54</v>
      </c>
      <c r="E82">
        <v>-16869.09</v>
      </c>
      <c r="F82">
        <v>42476.45</v>
      </c>
      <c r="G82">
        <v>-11959.57</v>
      </c>
      <c r="H82">
        <v>20813.7</v>
      </c>
      <c r="I82">
        <v>19069.34</v>
      </c>
      <c r="J82">
        <v>127241.84</v>
      </c>
      <c r="K82">
        <v>113506.38</v>
      </c>
    </row>
    <row r="83" spans="1:11" s="3" customFormat="1">
      <c r="A83" s="3" t="s">
        <v>198</v>
      </c>
      <c r="B83">
        <v>-1146.3800000000001</v>
      </c>
      <c r="C83">
        <v>-841.6</v>
      </c>
      <c r="D83">
        <v>-1503.06</v>
      </c>
      <c r="E83">
        <v>-1402.94</v>
      </c>
      <c r="F83">
        <v>-1822.7</v>
      </c>
      <c r="G83">
        <v>-2051.23</v>
      </c>
      <c r="H83">
        <v>-2992.18</v>
      </c>
      <c r="I83">
        <v>16600.419999999998</v>
      </c>
      <c r="J83">
        <v>-3650.91</v>
      </c>
      <c r="K83">
        <v>7476.62</v>
      </c>
    </row>
    <row r="84" spans="1:11" s="3" customFormat="1">
      <c r="A84" s="3" t="s">
        <v>199</v>
      </c>
      <c r="B84">
        <v>-5892.97</v>
      </c>
      <c r="C84">
        <v>57377.66</v>
      </c>
      <c r="D84">
        <v>23130.69</v>
      </c>
      <c r="E84">
        <v>24394.5</v>
      </c>
      <c r="F84">
        <v>-7321.35</v>
      </c>
      <c r="G84">
        <v>48124.02</v>
      </c>
      <c r="H84">
        <v>23940.560000000001</v>
      </c>
      <c r="I84">
        <v>-3983.06</v>
      </c>
      <c r="J84">
        <v>-102477.54</v>
      </c>
      <c r="K84">
        <v>-59004.85</v>
      </c>
    </row>
    <row r="85" spans="1:11" s="1" customFormat="1">
      <c r="A85" s="3" t="s">
        <v>167</v>
      </c>
      <c r="B85">
        <v>10242.24</v>
      </c>
      <c r="C85">
        <v>73750.44</v>
      </c>
      <c r="D85">
        <v>-41243.910000000003</v>
      </c>
      <c r="E85">
        <v>6122.47</v>
      </c>
      <c r="F85">
        <v>33332.400000000001</v>
      </c>
      <c r="G85">
        <v>34113.22</v>
      </c>
      <c r="H85">
        <v>41762.080000000002</v>
      </c>
      <c r="I85">
        <v>31686.7</v>
      </c>
      <c r="J85">
        <v>21113.39</v>
      </c>
      <c r="K85">
        <v>61978.15</v>
      </c>
    </row>
    <row r="86" spans="1:11">
      <c r="A86" s="3"/>
    </row>
    <row r="87" spans="1:11">
      <c r="A87" s="3"/>
    </row>
    <row r="88" spans="1:11">
      <c r="A88" s="3"/>
    </row>
    <row r="89" spans="1:11">
      <c r="A89" s="3"/>
    </row>
    <row r="90" spans="1:11" s="1" customFormat="1">
      <c r="A90" s="1" t="s">
        <v>200</v>
      </c>
      <c r="B90">
        <v>360.64</v>
      </c>
      <c r="C90">
        <v>471.53</v>
      </c>
      <c r="D90">
        <v>579.73</v>
      </c>
      <c r="E90">
        <v>430.95</v>
      </c>
      <c r="F90">
        <v>746.83</v>
      </c>
      <c r="G90">
        <v>735.18</v>
      </c>
      <c r="H90">
        <v>804.78</v>
      </c>
      <c r="I90">
        <v>723.95</v>
      </c>
      <c r="J90">
        <v>914.1</v>
      </c>
      <c r="K90">
        <v>731.55</v>
      </c>
    </row>
    <row r="92" spans="1:11" s="1" customFormat="1">
      <c r="A92" s="1" t="s">
        <v>201</v>
      </c>
    </row>
    <row r="93" spans="1:11">
      <c r="A93" s="2" t="s">
        <v>202</v>
      </c>
      <c r="B93" s="7">
        <v>1025.02</v>
      </c>
      <c r="C93" s="7">
        <v>1038.04</v>
      </c>
      <c r="D93" s="7">
        <v>1089.32</v>
      </c>
      <c r="E93" s="7">
        <v>1096.6600000000001</v>
      </c>
      <c r="F93" s="7">
        <v>1102.56</v>
      </c>
      <c r="G93" s="7">
        <v>1109.1099999999999</v>
      </c>
      <c r="H93" s="7">
        <v>1115.95</v>
      </c>
      <c r="I93" s="7">
        <v>1519.38</v>
      </c>
      <c r="J93" s="7">
        <v>1530.44</v>
      </c>
      <c r="K93" s="7">
        <v>1539.34</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Pratyush</dc:creator>
  <cp:keywords/>
  <dc:description/>
  <cp:lastModifiedBy/>
  <cp:revision/>
  <dcterms:created xsi:type="dcterms:W3CDTF">2012-08-17T09:55:37Z</dcterms:created>
  <dcterms:modified xsi:type="dcterms:W3CDTF">2026-10-13T19:19:29Z</dcterms:modified>
  <cp:category/>
  <cp:contentStatus/>
</cp:coreProperties>
</file>